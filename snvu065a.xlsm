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charts/chart3.xml" ContentType="application/vnd.openxmlformats-officedocument.drawingml.chart+xml"/>
  <Override PartName="/xl/drawings/drawing3.xml" ContentType="application/vnd.openxmlformats-officedocument.drawingml.chartshapes+xml"/>
  <Override PartName="/xl/queryTables/queryTable1.xml" ContentType="application/vnd.openxmlformats-officedocument.spreadsheetml.queryTable+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10.xml" ContentType="application/vnd.openxmlformats-officedocument.drawingml.chart+xml"/>
  <Override PartName="/xl/drawings/drawing8.xml" ContentType="application/vnd.openxmlformats-officedocument.drawingml.chartshapes+xml"/>
  <Override PartName="/xl/charts/chart11.xml" ContentType="application/vnd.openxmlformats-officedocument.drawingml.chart+xml"/>
  <Override PartName="/xl/drawings/drawing9.xml" ContentType="application/vnd.openxmlformats-officedocument.drawing+xml"/>
  <Override PartName="/xl/charts/chart1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426"/>
  <workbookPr updateLinks="never" codeName="ThisWorkbook"/>
  <mc:AlternateContent xmlns:mc="http://schemas.openxmlformats.org/markup-compatibility/2006">
    <mc:Choice Requires="x15">
      <x15ac:absPath xmlns:x15ac="http://schemas.microsoft.com/office/spreadsheetml/2010/11/ac" url="C:\Users\Kun\Desktop\"/>
    </mc:Choice>
  </mc:AlternateContent>
  <xr:revisionPtr revIDLastSave="0" documentId="13_ncr:8001_{2C9189CD-7122-4292-B785-EAE708A26E3F}" xr6:coauthVersionLast="47" xr6:coauthVersionMax="47" xr10:uidLastSave="{00000000-0000-0000-0000-000000000000}"/>
  <workbookProtection workbookPassword="E1A4" lockStructure="1"/>
  <bookViews>
    <workbookView xWindow="-120" yWindow="-120" windowWidth="29040" windowHeight="15720" xr2:uid="{00000000-000D-0000-FFFF-FFFF00000000}"/>
  </bookViews>
  <sheets>
    <sheet name="LM(2)5118 Calculator" sheetId="1" r:id="rId1"/>
    <sheet name="Bill of Materials" sheetId="2" r:id="rId2"/>
    <sheet name="Bode Plots" sheetId="3" r:id="rId3"/>
    <sheet name="Worksheet" sheetId="4" state="hidden" r:id="rId4"/>
    <sheet name="Graph" sheetId="5" state="hidden" r:id="rId5"/>
  </sheets>
  <definedNames>
    <definedName name="_Rfb1">'LM(2)5118 Calculator'!$E$79</definedName>
    <definedName name="_Rfb2">'LM(2)5118 Calculator'!$E$78</definedName>
    <definedName name="_Ruv1">'LM(2)5118 Calculator'!$E$108</definedName>
    <definedName name="_Ruv2">'LM(2)5118 Calculator'!$E$110</definedName>
    <definedName name="A">10</definedName>
    <definedName name="Afb">'Bode Plots'!$K$16</definedName>
    <definedName name="Amb">'Bode Plots'!$W$8</definedName>
    <definedName name="AmBB">'Bode Plots'!$K$9</definedName>
    <definedName name="BuckBoostMode">'LM(2)5118 Calculator'!$E$15</definedName>
    <definedName name="BuckMode">'LM(2)5118 Calculator'!$E$14</definedName>
    <definedName name="Chb">'LM(2)5118 Calculator'!$E$84</definedName>
    <definedName name="Cin">'LM(2)5118 Calculator'!$E$75</definedName>
    <definedName name="CinESR">'LM(2)5118 Calculator'!$E$71</definedName>
    <definedName name="CompGain">(2*3.14*fcutoff*1000/ModGain)*SQRT((1+(fcutoff*1000/fcompPole)^2)/(1+(fcutoff*1000/fcompZero)^2))</definedName>
    <definedName name="Cout">'LM(2)5118 Calculator'!$E$65</definedName>
    <definedName name="Coutesr">'LM(2)5118 Calculator'!$E$66</definedName>
    <definedName name="Cpole">'LM(2)5118 Calculator'!$E$96</definedName>
    <definedName name="Cr">'LM(2)5118 Calculator'!$E$113</definedName>
    <definedName name="Cramp">'LM(2)5118 Calculator'!$E$52</definedName>
    <definedName name="CrossOverGain">20*LOG((SQRT((fmodpole^2*(fcutoff^2+fmodRzero^2)*(fcutoff^2+fmodESRzero^2))/(fmodRzero^2*fmodESRzero^2*(fcutoff^2+fmodpole^2))))*(Rout/Ri)*((1-DBB)/(1+DBB)))</definedName>
    <definedName name="Css">'LM(2)5118 Calculator'!$E$104</definedName>
    <definedName name="Cvcc">'LM(2)5118 Calculator'!$E$85</definedName>
    <definedName name="Czero">'LM(2)5118 Calculator'!$E$98</definedName>
    <definedName name="DBB">Vout/(Vinmin+Vout)</definedName>
    <definedName name="DBuck">Vout/Vinmax</definedName>
    <definedName name="DeltaVout">'LM(2)5118 Calculator'!$E$60</definedName>
    <definedName name="Dmax_Buck">IF(Vinmin&gt;BuckMode, Vout/Vinmin,Vout/BuckMode)</definedName>
    <definedName name="Dmax_BuckBoost">Vout/(Vinmin+Vout)</definedName>
    <definedName name="DMaximumAll">IF(Dmax_Buck&gt;Dmax_BuckBoost,Dmax_Buck,Dmax_BuckBoost)</definedName>
    <definedName name="Dmin">Vout/(Vinmin+Vout)</definedName>
    <definedName name="Dominate_Pole">(1+Dmin)*1000000/(Rout*Cout*2*3.14)</definedName>
    <definedName name="Dpole">(1+Dmin)*1000000/(Rout*Cout*2*3.14)</definedName>
    <definedName name="Dviolate">1-'LM(2)5118 Calculator'!$E$21*400*10^-6</definedName>
    <definedName name="Eff">'LM(2)5118 Calculator'!$E$12</definedName>
    <definedName name="ErrorAmpGain_Cross">-'LM(2)5118 Calculator'!#REF!</definedName>
    <definedName name="fcompPole">fmodRzero*1000</definedName>
    <definedName name="fcompZero">(fcutoff/10)*1000</definedName>
    <definedName name="fcutoff">'LM(2)5118 Calculator'!$E$92</definedName>
    <definedName name="Fmax">(1-DMaximumAll)/(400*10^-6)</definedName>
    <definedName name="fmodESRzero">'LM(2)5118 Calculator'!$E$89</definedName>
    <definedName name="fmodpole">'LM(2)5118 Calculator'!$E$90</definedName>
    <definedName name="fmodRzero">'LM(2)5118 Calculator'!$E$88</definedName>
    <definedName name="Fsw">'LM(2)5118 Calculator'!$E$21</definedName>
    <definedName name="Gmmod">1/(Rs*A)</definedName>
    <definedName name="ILavgBB">'LM(2)5118 Calculator'!$E$37</definedName>
    <definedName name="ILavgBuck">'LM(2)5118 Calculator'!$E$36</definedName>
    <definedName name="ILPeakLimitBB">(2.5-((Vout*50*10^-6)/((Vinmin+Vout)*Cramp*10^-12*Fsw*10^3)))/(10*Rs*10^-3)</definedName>
    <definedName name="ILPeakLimitBuck">(1.25-((Vout*50*10^-6)/(Vinmax*Cramp*10^-12*Fsw*10^3)))/(10*Rs*10^-3)</definedName>
    <definedName name="Iout">'LM(2)5118 Calculator'!$E$10</definedName>
    <definedName name="IpeakBB">'LM(2)5118 Calculator'!$E$39</definedName>
    <definedName name="IpeakBuck">'LM(2)5118 Calculator'!$E$38</definedName>
    <definedName name="IrippleBB">'LM(2)5118 Calculator'!$E$32</definedName>
    <definedName name="IrippleBB_Vout">'LM(2)5118 Calculator'!$E$33</definedName>
    <definedName name="IrippleBuck">'LM(2)5118 Calculator'!$E$31</definedName>
    <definedName name="KBB">'LM(2)5118 Calculator'!$E$46</definedName>
    <definedName name="KBuck">'LM(2)5118 Calculator'!$E$44</definedName>
    <definedName name="L">'LM(2)5118 Calculator'!$E$27</definedName>
    <definedName name="L_tol">'LM(2)5118 Calculator'!$E$28</definedName>
    <definedName name="Lboost">'LM(2)5118 Calculator'!$E$26</definedName>
    <definedName name="Lbuck">'LM(2)5118 Calculator'!$E$25</definedName>
    <definedName name="LM5118_EVAL_A9_BOM" localSheetId="1">'Bill of Materials'!$B$5:$G$39</definedName>
    <definedName name="ModCrossFreq">(Dpole/1000)*SQRT((Rout*Vinmin/10*Rs/1000*(Vinmin+2*Vout)))^2-1</definedName>
    <definedName name="ModGain">10^(CrossOverGain/20)</definedName>
    <definedName name="_xlnm.Print_Area" localSheetId="0">'LM(2)5118 Calculator'!$A$1:$L$113</definedName>
    <definedName name="_xlnm.Print_Area" localSheetId="3">Worksheet!$A$1:$R$54</definedName>
    <definedName name="PRS_B">(ILavgBuck^2)*Rs*10^-3</definedName>
    <definedName name="PRS_BB">(ILavgBB^2)*Rs*10^-3</definedName>
    <definedName name="Rcomp">'LM(2)5118 Calculator'!$E$100</definedName>
    <definedName name="Ri">Rs*10*10^-3</definedName>
    <definedName name="Ripple">'LM(2)5118 Calculator'!$E$11</definedName>
    <definedName name="RLmin">Vout/Ilimit</definedName>
    <definedName name="Rout">Vout/Iout</definedName>
    <definedName name="Rramp">'LM(2)5118 Calculator'!$E$53</definedName>
    <definedName name="Rs">'LM(2)5118 Calculator'!$E$48</definedName>
    <definedName name="Rt">'LM(2)5118 Calculator'!$E$22</definedName>
    <definedName name="UVLOdesired">#REF!</definedName>
    <definedName name="VCC">7</definedName>
    <definedName name="Vccx">'LM(2)5118 Calculator'!$E$13</definedName>
    <definedName name="Vinmax">'LM(2)5118 Calculator'!$E$9</definedName>
    <definedName name="Vinmin">'LM(2)5118 Calculator'!$E$8</definedName>
    <definedName name="Vout">'LM(2)5118 Calculator'!$E$7</definedName>
    <definedName name="Vref">1.23</definedName>
    <definedName name="wd">'Bode Plots'!$K$16</definedName>
    <definedName name="whf">'Bode Plots'!$K$16</definedName>
    <definedName name="wpb">'Bode Plots'!$W$6</definedName>
    <definedName name="wpBB">'Bode Plots'!$K$5</definedName>
    <definedName name="wpea">'Bode Plots'!$K$13</definedName>
    <definedName name="wrBB">'Bode Plots'!$K$6</definedName>
    <definedName name="wzb">'Bode Plots'!$W$5</definedName>
    <definedName name="wzBB">'Bode Plots'!$K$7</definedName>
    <definedName name="wzea">'Bode Plots'!$K$14</definedName>
    <definedName name="Z_1DD99649_EE33_4BDE_A4D6_89083858C8DF_.wvu.PrintArea" localSheetId="0" hidden="1">'LM(2)5118 Calculator'!$A$1:$L$113</definedName>
    <definedName name="Z_1DD99649_EE33_4BDE_A4D6_89083858C8DF_.wvu.PrintArea" localSheetId="3" hidden="1">Worksheet!$A$1:$R$54</definedName>
    <definedName name="Z_7663E1A9_6243_4C84_AC6E_7B523F6FB71A_.wvu.PrintArea" localSheetId="0" hidden="1">'LM(2)5118 Calculator'!$A$1:$L$113</definedName>
    <definedName name="Z_7663E1A9_6243_4C84_AC6E_7B523F6FB71A_.wvu.PrintArea" localSheetId="3" hidden="1">Worksheet!$A$1:$R$54</definedName>
  </definedNames>
  <calcPr calcId="191029"/>
  <customWorkbookViews>
    <customWorkbookView name="Roecker, Garrett - Personal View" guid="{1DD99649-EE33-4BDE-A4D6-89083858C8DF}" mergeInterval="0" personalView="1" maximized="1" windowWidth="1680" windowHeight="824" activeSheetId="3"/>
    <customWorkbookView name="Dave Lewis - Personal View" guid="{7663E1A9-6243-4C84-AC6E-7B523F6FB71A}" mergeInterval="0" personalView="1" maximized="1" xWindow="1" yWindow="1" windowWidth="1676" windowHeight="8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2" l="1"/>
  <c r="E8" i="2"/>
  <c r="E5" i="2"/>
  <c r="E22" i="1"/>
  <c r="D19" i="2" s="1"/>
  <c r="E93" i="1"/>
  <c r="E83" i="1"/>
  <c r="W16" i="3"/>
  <c r="X16" i="3" s="1"/>
  <c r="W14" i="3"/>
  <c r="W13" i="3"/>
  <c r="K16" i="3"/>
  <c r="L16" i="3" s="1"/>
  <c r="K14" i="3"/>
  <c r="G7" i="3" s="1"/>
  <c r="K13" i="3"/>
  <c r="X13" i="3" s="1"/>
  <c r="W8" i="3"/>
  <c r="P13" i="3" s="1"/>
  <c r="W6" i="3"/>
  <c r="X6" i="3" s="1"/>
  <c r="K9" i="3"/>
  <c r="L9" i="3" s="1"/>
  <c r="K6" i="3"/>
  <c r="L6" i="3" s="1"/>
  <c r="K5" i="3"/>
  <c r="L5" i="3" s="1"/>
  <c r="D10" i="2"/>
  <c r="C23" i="3"/>
  <c r="C24" i="3"/>
  <c r="O23" i="3"/>
  <c r="O24" i="3"/>
  <c r="E43" i="1"/>
  <c r="E88" i="1"/>
  <c r="E91" i="1" s="1"/>
  <c r="E90" i="1"/>
  <c r="E62" i="1"/>
  <c r="O22" i="3"/>
  <c r="O21" i="3"/>
  <c r="O20" i="3"/>
  <c r="O19" i="3"/>
  <c r="O18" i="3"/>
  <c r="O17" i="3"/>
  <c r="O16" i="3"/>
  <c r="O15" i="3"/>
  <c r="O14" i="3"/>
  <c r="O13" i="3"/>
  <c r="O12" i="3"/>
  <c r="O11" i="3"/>
  <c r="O10" i="3"/>
  <c r="O9" i="3"/>
  <c r="O8" i="3"/>
  <c r="O7" i="3"/>
  <c r="O6" i="3"/>
  <c r="O5" i="3"/>
  <c r="O4" i="3"/>
  <c r="O3" i="3"/>
  <c r="E70" i="1"/>
  <c r="D15" i="2"/>
  <c r="E51" i="1"/>
  <c r="E45" i="1"/>
  <c r="E37" i="1"/>
  <c r="E36" i="1"/>
  <c r="E33" i="1"/>
  <c r="E32" i="1"/>
  <c r="E35" i="1" s="1"/>
  <c r="C7" i="5"/>
  <c r="D7" i="5"/>
  <c r="E7" i="5"/>
  <c r="H7" i="5" s="1"/>
  <c r="H8" i="5" s="1"/>
  <c r="F7" i="5"/>
  <c r="H12" i="5" s="1"/>
  <c r="H13" i="5" s="1"/>
  <c r="G7" i="5"/>
  <c r="I7" i="5"/>
  <c r="J7" i="5"/>
  <c r="L7" i="5"/>
  <c r="M7" i="5"/>
  <c r="B4" i="4"/>
  <c r="E6" i="4"/>
  <c r="F6" i="4"/>
  <c r="E7" i="4"/>
  <c r="F7" i="4"/>
  <c r="E8" i="4"/>
  <c r="E12" i="4" s="1"/>
  <c r="F8" i="4"/>
  <c r="E9" i="4"/>
  <c r="F9" i="4"/>
  <c r="E10" i="4"/>
  <c r="F10" i="4"/>
  <c r="E11" i="4"/>
  <c r="F11" i="4"/>
  <c r="F12" i="4"/>
  <c r="E13" i="4"/>
  <c r="F13" i="4"/>
  <c r="E14" i="4"/>
  <c r="F14" i="4"/>
  <c r="E15" i="4"/>
  <c r="F15" i="4"/>
  <c r="E18" i="4"/>
  <c r="F18" i="4" s="1"/>
  <c r="E19" i="4"/>
  <c r="E20" i="4"/>
  <c r="E21" i="4"/>
  <c r="E22" i="4"/>
  <c r="E23" i="4"/>
  <c r="D24" i="4"/>
  <c r="D25" i="4"/>
  <c r="D26" i="4" s="1"/>
  <c r="D27" i="4" s="1"/>
  <c r="D28" i="4" s="1"/>
  <c r="D29" i="4" s="1"/>
  <c r="D30" i="4" s="1"/>
  <c r="D31" i="4" s="1"/>
  <c r="D32" i="4" s="1"/>
  <c r="D33" i="4" s="1"/>
  <c r="D34" i="4" s="1"/>
  <c r="D35" i="4" s="1"/>
  <c r="D36" i="4" s="1"/>
  <c r="D37" i="4" s="1"/>
  <c r="D38" i="4" s="1"/>
  <c r="D39" i="4" s="1"/>
  <c r="D40" i="4" s="1"/>
  <c r="D41" i="4" s="1"/>
  <c r="D42" i="4" s="1"/>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E24" i="4"/>
  <c r="E25" i="4"/>
  <c r="E26" i="4"/>
  <c r="E27" i="4"/>
  <c r="E28" i="4"/>
  <c r="C3" i="3"/>
  <c r="C4" i="3"/>
  <c r="C5" i="3"/>
  <c r="C6" i="3"/>
  <c r="C7" i="3"/>
  <c r="C8" i="3"/>
  <c r="C9" i="3"/>
  <c r="C10" i="3"/>
  <c r="C11" i="3"/>
  <c r="C12" i="3"/>
  <c r="C13" i="3"/>
  <c r="C14" i="3"/>
  <c r="C15" i="3"/>
  <c r="C16" i="3"/>
  <c r="C17" i="3"/>
  <c r="C18" i="3"/>
  <c r="C19" i="3"/>
  <c r="C20" i="3"/>
  <c r="C21" i="3"/>
  <c r="C22" i="3"/>
  <c r="D5" i="2"/>
  <c r="D8" i="2"/>
  <c r="D13" i="2"/>
  <c r="D16" i="2"/>
  <c r="D4" i="2"/>
  <c r="E14" i="1"/>
  <c r="E72" i="1" s="1"/>
  <c r="E15" i="1"/>
  <c r="E17" i="1" s="1"/>
  <c r="D6" i="2"/>
  <c r="E53" i="1"/>
  <c r="D20" i="2" s="1"/>
  <c r="E20" i="2" s="1"/>
  <c r="E61" i="1"/>
  <c r="E64" i="1" s="1"/>
  <c r="E63" i="1"/>
  <c r="E85" i="1"/>
  <c r="D12" i="2" s="1"/>
  <c r="E104" i="1"/>
  <c r="D7" i="2" s="1"/>
  <c r="E107" i="1"/>
  <c r="E110" i="1"/>
  <c r="E16" i="2"/>
  <c r="E113" i="1"/>
  <c r="D9" i="2"/>
  <c r="D17" i="2"/>
  <c r="E79" i="1"/>
  <c r="D14" i="2" s="1"/>
  <c r="W5" i="3"/>
  <c r="X5" i="3" s="1"/>
  <c r="K7" i="3"/>
  <c r="L7" i="3" s="1"/>
  <c r="E89" i="1"/>
  <c r="D18" i="2"/>
  <c r="D21" i="2"/>
  <c r="D11" i="2"/>
  <c r="E4" i="2"/>
  <c r="G5" i="3" l="1"/>
  <c r="S7" i="3"/>
  <c r="G10" i="3"/>
  <c r="X14" i="3"/>
  <c r="F13" i="3"/>
  <c r="G14" i="3"/>
  <c r="G6" i="3"/>
  <c r="G21" i="3"/>
  <c r="F14" i="3"/>
  <c r="G11" i="3"/>
  <c r="L14" i="3"/>
  <c r="F6" i="3"/>
  <c r="P22" i="3"/>
  <c r="Q11" i="3"/>
  <c r="Q21" i="3"/>
  <c r="Q15" i="3"/>
  <c r="U15" i="3" s="1"/>
  <c r="Q16" i="3"/>
  <c r="P3" i="3"/>
  <c r="P24" i="3"/>
  <c r="Q3" i="3"/>
  <c r="Q14" i="3"/>
  <c r="Q6" i="3"/>
  <c r="D20" i="3"/>
  <c r="P19" i="3"/>
  <c r="P20" i="3"/>
  <c r="Q8" i="3"/>
  <c r="P9" i="3"/>
  <c r="Q19" i="3"/>
  <c r="P14" i="3"/>
  <c r="Q10" i="3"/>
  <c r="P18" i="3"/>
  <c r="P10" i="3"/>
  <c r="Q13" i="3"/>
  <c r="R5" i="3"/>
  <c r="D7" i="3"/>
  <c r="S15" i="3"/>
  <c r="P5" i="3"/>
  <c r="R12" i="3"/>
  <c r="E26" i="1"/>
  <c r="F10" i="3"/>
  <c r="P23" i="3"/>
  <c r="D13" i="3"/>
  <c r="H13" i="3" s="1"/>
  <c r="R10" i="3"/>
  <c r="F9" i="5"/>
  <c r="F10" i="5" s="1"/>
  <c r="E31" i="1"/>
  <c r="E34" i="1" s="1"/>
  <c r="E38" i="1" s="1"/>
  <c r="F16" i="3"/>
  <c r="Q4" i="3"/>
  <c r="P7" i="3"/>
  <c r="D12" i="3"/>
  <c r="E39" i="1"/>
  <c r="E71" i="1" s="1"/>
  <c r="E20" i="3"/>
  <c r="R14" i="3"/>
  <c r="P11" i="3"/>
  <c r="Q5" i="3"/>
  <c r="F12" i="3"/>
  <c r="Q23" i="3"/>
  <c r="E5" i="3"/>
  <c r="I5" i="3" s="1"/>
  <c r="E23" i="3"/>
  <c r="X8" i="3"/>
  <c r="P15" i="3"/>
  <c r="D18" i="3"/>
  <c r="E21" i="3"/>
  <c r="I21" i="3" s="1"/>
  <c r="D23" i="3"/>
  <c r="Q9" i="3"/>
  <c r="Q7" i="3"/>
  <c r="U7" i="3" s="1"/>
  <c r="P6" i="3"/>
  <c r="Q22" i="3"/>
  <c r="S22" i="3"/>
  <c r="G17" i="3"/>
  <c r="S19" i="3"/>
  <c r="S11" i="3"/>
  <c r="U11" i="3" s="1"/>
  <c r="F19" i="3"/>
  <c r="P12" i="3"/>
  <c r="R13" i="3"/>
  <c r="T13" i="3" s="1"/>
  <c r="E18" i="2"/>
  <c r="E95" i="1"/>
  <c r="E97" i="1" s="1"/>
  <c r="E99" i="1" s="1"/>
  <c r="E12" i="3"/>
  <c r="D4" i="3"/>
  <c r="E6" i="3"/>
  <c r="I6" i="3" s="1"/>
  <c r="E19" i="3"/>
  <c r="E17" i="3"/>
  <c r="R11" i="3"/>
  <c r="E15" i="3"/>
  <c r="G9" i="3"/>
  <c r="E9" i="3"/>
  <c r="F20" i="3"/>
  <c r="E94" i="1"/>
  <c r="R6" i="3"/>
  <c r="T6" i="3" s="1"/>
  <c r="F4" i="3"/>
  <c r="F9" i="3"/>
  <c r="G4" i="3"/>
  <c r="F24" i="3"/>
  <c r="G3" i="3"/>
  <c r="R7" i="3"/>
  <c r="R23" i="3"/>
  <c r="S17" i="3"/>
  <c r="G19" i="3"/>
  <c r="S23" i="3"/>
  <c r="R24" i="3"/>
  <c r="T24" i="3" s="1"/>
  <c r="S16" i="3"/>
  <c r="E3" i="3"/>
  <c r="R21" i="3"/>
  <c r="S20" i="3"/>
  <c r="F3" i="3"/>
  <c r="G12" i="3"/>
  <c r="D3" i="3"/>
  <c r="G20" i="3"/>
  <c r="I20" i="3" s="1"/>
  <c r="S8" i="3"/>
  <c r="U8" i="3" s="1"/>
  <c r="F23" i="3"/>
  <c r="E67" i="1"/>
  <c r="A23" i="1"/>
  <c r="E18" i="3"/>
  <c r="D8" i="3"/>
  <c r="E16" i="3"/>
  <c r="D17" i="3"/>
  <c r="D14" i="3"/>
  <c r="S3" i="3"/>
  <c r="U3" i="3" s="1"/>
  <c r="G18" i="3"/>
  <c r="S10" i="3"/>
  <c r="E11" i="3"/>
  <c r="D6" i="3"/>
  <c r="D24" i="3"/>
  <c r="T5" i="3"/>
  <c r="D15" i="3"/>
  <c r="E20" i="1"/>
  <c r="S21" i="3"/>
  <c r="U21" i="3" s="1"/>
  <c r="R18" i="3"/>
  <c r="R20" i="3"/>
  <c r="S6" i="3"/>
  <c r="F22" i="3"/>
  <c r="F5" i="3"/>
  <c r="G8" i="3"/>
  <c r="S12" i="3"/>
  <c r="G23" i="3"/>
  <c r="G22" i="3"/>
  <c r="F17" i="3"/>
  <c r="R19" i="3"/>
  <c r="T19" i="3" s="1"/>
  <c r="R9" i="3"/>
  <c r="R17" i="3"/>
  <c r="R22" i="3"/>
  <c r="T22" i="3" s="1"/>
  <c r="G24" i="3"/>
  <c r="S13" i="3"/>
  <c r="L13" i="3"/>
  <c r="E25" i="1"/>
  <c r="P17" i="3"/>
  <c r="P8" i="3"/>
  <c r="E10" i="3"/>
  <c r="I10" i="3" s="1"/>
  <c r="E8" i="3"/>
  <c r="D5" i="3"/>
  <c r="Q24" i="3"/>
  <c r="Q17" i="3"/>
  <c r="D22" i="3"/>
  <c r="H22" i="3" s="1"/>
  <c r="P21" i="3"/>
  <c r="Q18" i="3"/>
  <c r="D10" i="3"/>
  <c r="H10" i="3" s="1"/>
  <c r="Q12" i="3"/>
  <c r="P16" i="3"/>
  <c r="P4" i="3"/>
  <c r="D19" i="3"/>
  <c r="Q20" i="3"/>
  <c r="F21" i="3"/>
  <c r="E22" i="3"/>
  <c r="E13" i="3"/>
  <c r="E4" i="3"/>
  <c r="R8" i="3"/>
  <c r="D11" i="3"/>
  <c r="F18" i="3"/>
  <c r="G15" i="3"/>
  <c r="G16" i="3"/>
  <c r="R3" i="3"/>
  <c r="T3" i="3" s="1"/>
  <c r="S9" i="3"/>
  <c r="E7" i="3"/>
  <c r="I7" i="3" s="1"/>
  <c r="E14" i="3"/>
  <c r="I14" i="3" s="1"/>
  <c r="F11" i="3"/>
  <c r="S4" i="3"/>
  <c r="F8" i="3"/>
  <c r="S18" i="3"/>
  <c r="S24" i="3"/>
  <c r="F15" i="3"/>
  <c r="E24" i="3"/>
  <c r="G13" i="3"/>
  <c r="F7" i="3"/>
  <c r="D9" i="3"/>
  <c r="R16" i="3"/>
  <c r="D16" i="3"/>
  <c r="S5" i="3"/>
  <c r="U5" i="3" s="1"/>
  <c r="D21" i="3"/>
  <c r="R4" i="3"/>
  <c r="S14" i="3"/>
  <c r="R15" i="3"/>
  <c r="H7" i="3" l="1"/>
  <c r="I17" i="3"/>
  <c r="U16" i="3"/>
  <c r="I9" i="3"/>
  <c r="H24" i="3"/>
  <c r="H9" i="3"/>
  <c r="U17" i="3"/>
  <c r="H14" i="3"/>
  <c r="I11" i="3"/>
  <c r="I8" i="3"/>
  <c r="H6" i="3"/>
  <c r="E74" i="1"/>
  <c r="E57" i="1"/>
  <c r="T9" i="3"/>
  <c r="H12" i="3"/>
  <c r="U6" i="3"/>
  <c r="T11" i="3"/>
  <c r="U14" i="3"/>
  <c r="T23" i="3"/>
  <c r="U13" i="3"/>
  <c r="E47" i="1"/>
  <c r="U10" i="3"/>
  <c r="H20" i="3"/>
  <c r="U19" i="3"/>
  <c r="T12" i="3"/>
  <c r="U9" i="3"/>
  <c r="I23" i="3"/>
  <c r="T14" i="3"/>
  <c r="T7" i="3"/>
  <c r="T20" i="3"/>
  <c r="T10" i="3"/>
  <c r="T18" i="3"/>
  <c r="I4" i="3"/>
  <c r="U4" i="3"/>
  <c r="H19" i="3"/>
  <c r="I3" i="3"/>
  <c r="I22" i="3"/>
  <c r="U20" i="3"/>
  <c r="T15" i="3"/>
  <c r="H23" i="3"/>
  <c r="U23" i="3"/>
  <c r="H21" i="3"/>
  <c r="U12" i="3"/>
  <c r="H16" i="3"/>
  <c r="T21" i="3"/>
  <c r="H18" i="3"/>
  <c r="I18" i="3"/>
  <c r="H3" i="3"/>
  <c r="U22" i="3"/>
  <c r="I16" i="3"/>
  <c r="T4" i="3"/>
  <c r="U18" i="3"/>
  <c r="H17" i="3"/>
  <c r="U24" i="3"/>
  <c r="H4" i="3"/>
  <c r="I13" i="3"/>
  <c r="A21" i="1"/>
  <c r="A22" i="1"/>
  <c r="T17" i="3"/>
  <c r="I24" i="3"/>
  <c r="I15" i="3"/>
  <c r="I12" i="3"/>
  <c r="H11" i="3"/>
  <c r="T16" i="3"/>
  <c r="H5" i="3"/>
  <c r="T8" i="3"/>
  <c r="H15" i="3"/>
  <c r="H8" i="3"/>
  <c r="I19" i="3"/>
  <c r="E56" i="1"/>
  <c r="E7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crmcsc</author>
    <author>Roecker, Garrett</author>
    <author>PPD-NPS</author>
    <author>dpace</author>
    <author>Karl Heck</author>
  </authors>
  <commentList>
    <comment ref="E8" authorId="0" shapeId="0" xr:uid="{00000000-0006-0000-0000-000001000000}">
      <text>
        <r>
          <rPr>
            <sz val="9"/>
            <color indexed="81"/>
            <rFont val="Tahoma"/>
            <family val="2"/>
          </rPr>
          <t>For operation with input voltage  below 4V, see the datasheet instructions for drawing operating current  from the output.</t>
        </r>
      </text>
    </comment>
    <comment ref="E9" authorId="1" shapeId="0" xr:uid="{00000000-0006-0000-0000-000002000000}">
      <text>
        <r>
          <rPr>
            <sz val="9"/>
            <color indexed="81"/>
            <rFont val="Tahoma"/>
            <family val="2"/>
          </rPr>
          <t xml:space="preserve">The maximum input voltage is 75V.
</t>
        </r>
      </text>
    </comment>
    <comment ref="E10" authorId="0" shapeId="0" xr:uid="{00000000-0006-0000-0000-000003000000}">
      <text>
        <r>
          <rPr>
            <sz val="9"/>
            <color indexed="81"/>
            <rFont val="Tahoma"/>
            <family val="2"/>
          </rPr>
          <t xml:space="preserve">This is the maximum average load current required for the application.  
</t>
        </r>
      </text>
    </comment>
    <comment ref="E11" authorId="0" shapeId="0" xr:uid="{00000000-0006-0000-0000-000004000000}">
      <text>
        <r>
          <rPr>
            <sz val="9"/>
            <color indexed="81"/>
            <rFont val="Tahoma"/>
            <family val="2"/>
          </rPr>
          <t>A good starting value for both buck mode and buck-boost mode ripple is 40% of the average  inductor current.  Target inductor values are then calculated  for both operating modes.  Then a compromise inductance value between the two calculated values must be chosen.  Actual inductor current ripple is caclulated based on this chosen value. 
For buck-boost calculations, the %ripple is true inductor ripple.  In some subsequent equations, the output current is used, but appropriate factors are incorporated to refer this back to inductor ripple.  For buck calculations, the average inductor current is output current.</t>
        </r>
      </text>
    </comment>
    <comment ref="E12" authorId="1" shapeId="0" xr:uid="{00000000-0006-0000-0000-000005000000}">
      <text>
        <r>
          <rPr>
            <sz val="9"/>
            <color indexed="81"/>
            <rFont val="Tahoma"/>
            <family val="2"/>
          </rPr>
          <t xml:space="preserve">This is the estimated effciency of the converter. A good starting point is approximately 80%
</t>
        </r>
      </text>
    </comment>
    <comment ref="E13" authorId="0" shapeId="0" xr:uid="{00000000-0006-0000-0000-000006000000}">
      <text>
        <r>
          <rPr>
            <sz val="9"/>
            <color indexed="81"/>
            <rFont val="Tahoma"/>
            <family val="2"/>
          </rPr>
          <t xml:space="preserve">VCCX is an optional  input to the LM5118. If a voltage greater than 4.7V is supplied to VCCX, the operating current for LM5118 will be drawn from this external supply instead of VIN.   This will increase overall efficiency and reduce the LM5118 junction temperature.    
</t>
        </r>
      </text>
    </comment>
    <comment ref="E20" authorId="0" shapeId="0" xr:uid="{00000000-0006-0000-0000-000007000000}">
      <text>
        <r>
          <rPr>
            <sz val="9"/>
            <color indexed="81"/>
            <rFont val="Tahoma"/>
            <family val="2"/>
          </rPr>
          <t xml:space="preserve">This value is determined by either the minimum on-time constraint or the LM5118 maximum switching frequency of 500 kHz.
</t>
        </r>
      </text>
    </comment>
    <comment ref="E21" authorId="0" shapeId="0" xr:uid="{00000000-0006-0000-0000-000008000000}">
      <text>
        <r>
          <rPr>
            <sz val="9"/>
            <color indexed="81"/>
            <rFont val="Tahoma"/>
            <family val="2"/>
          </rPr>
          <t xml:space="preserve">Selection of the operating frequency is a trade-off between the conversion efficiency and solution size.  
Operation at lower frequency improves efficiency but requires a larger inductor and more output filter capacitance.   
Operation at high frequency will reduce the efficiency and consequently generate more heat.  In some applications, a high operating frequency will limit the input voltage range, as described below:
 Attention must be given to the minimum off time requirement of 400ns (see datasheet for limits over temperature)  when selecting switching frequency.  Depending on input and output voltage requirements,  the maximum duty cycle could be limited by the minimum off time and could affect the converter's performance.  Refer to the data sheet discussion and graph regarding minimum off time and duty cycle.
 </t>
        </r>
      </text>
    </comment>
    <comment ref="E25" authorId="0" shapeId="0" xr:uid="{00000000-0006-0000-0000-000009000000}">
      <text>
        <r>
          <rPr>
            <sz val="9"/>
            <color indexed="81"/>
            <rFont val="Tahoma"/>
            <family val="2"/>
          </rPr>
          <t>This is the initial calculated inductor value  based on the specified percent ripple for operation in the buck mode.  This value must be compared to the calculated buck-boost mode  inductor value.  A compromise value is chosen based on operating requirements.</t>
        </r>
        <r>
          <rPr>
            <sz val="9"/>
            <color indexed="81"/>
            <rFont val="Tahoma"/>
            <family val="2"/>
          </rPr>
          <t xml:space="preserve">
</t>
        </r>
      </text>
    </comment>
    <comment ref="E26" authorId="0" shapeId="0" xr:uid="{00000000-0006-0000-0000-00000A000000}">
      <text>
        <r>
          <rPr>
            <sz val="9"/>
            <color indexed="81"/>
            <rFont val="Tahoma"/>
            <family val="2"/>
          </rPr>
          <t>This is the initial calculated inductor value  based on the specified percent ripple for operation in the buck-boost mode.  This value must be compared to the calculated buck mode  inductor value.  A compromise value is chosen based on operating requirements.</t>
        </r>
        <r>
          <rPr>
            <sz val="9"/>
            <color indexed="81"/>
            <rFont val="Tahoma"/>
            <family val="2"/>
          </rPr>
          <t xml:space="preserve">
</t>
        </r>
      </text>
    </comment>
    <comment ref="E27" authorId="0" shapeId="0" xr:uid="{00000000-0006-0000-0000-00000B000000}">
      <text>
        <r>
          <rPr>
            <sz val="9"/>
            <color indexed="81"/>
            <rFont val="Tahoma"/>
            <family val="2"/>
          </rPr>
          <t>The actual inductor value that is selected will be a compromise between low inductor ripple current in the buck mode vs loop stability in the buck-boost mode.
A right half-plane zero in the buck-boost mode  moves to lower frequencies as the value of L  increases.  This makes the loop more difficult to stabilize.
A suggested starting point for the  inductor value is  as close to the buck-boost calculated value as possible while maintaining tolerable ripple in the buck mode.</t>
        </r>
        <r>
          <rPr>
            <sz val="9"/>
            <color indexed="81"/>
            <rFont val="Tahoma"/>
            <family val="2"/>
          </rPr>
          <t xml:space="preserve">
</t>
        </r>
      </text>
    </comment>
    <comment ref="E28" authorId="2" shapeId="0" xr:uid="{00000000-0006-0000-0000-00000C000000}">
      <text>
        <r>
          <rPr>
            <sz val="9"/>
            <color indexed="81"/>
            <rFont val="Tahoma"/>
            <family val="2"/>
          </rPr>
          <t xml:space="preserve">This is the plus/minus tolerance of the inductor value. 
</t>
        </r>
      </text>
    </comment>
    <comment ref="E31" authorId="0" shapeId="0" xr:uid="{00000000-0006-0000-0000-00000D000000}">
      <text>
        <r>
          <rPr>
            <sz val="9"/>
            <color indexed="81"/>
            <rFont val="Tahoma"/>
            <family val="2"/>
          </rPr>
          <t>This value is the worst case peak-to-peak buck mode ripple at Vin(max).</t>
        </r>
      </text>
    </comment>
    <comment ref="E32" authorId="0" shapeId="0" xr:uid="{00000000-0006-0000-0000-00000E000000}">
      <text>
        <r>
          <rPr>
            <sz val="9"/>
            <color indexed="81"/>
            <rFont val="Tahoma"/>
            <family val="2"/>
          </rPr>
          <t xml:space="preserve">This value represents the peak to peak ripple current at Vin(min). </t>
        </r>
      </text>
    </comment>
    <comment ref="E33" authorId="0" shapeId="0" xr:uid="{00000000-0006-0000-0000-00000F000000}">
      <text>
        <r>
          <rPr>
            <sz val="9"/>
            <color indexed="81"/>
            <rFont val="Tahoma"/>
            <family val="2"/>
          </rPr>
          <t>The ripple current at Vin=Vout, which is approximately the highest Vin voltage consistent with pure buck-boost operation.</t>
        </r>
      </text>
    </comment>
    <comment ref="E34" authorId="2" shapeId="0" xr:uid="{00000000-0006-0000-0000-000010000000}">
      <text>
        <r>
          <rPr>
            <sz val="9"/>
            <color indexed="81"/>
            <rFont val="Tahoma"/>
            <family val="2"/>
          </rPr>
          <t xml:space="preserve">Worst case ripple current including inductor tolerance </t>
        </r>
      </text>
    </comment>
    <comment ref="E35" authorId="2" shapeId="0" xr:uid="{00000000-0006-0000-0000-000011000000}">
      <text>
        <r>
          <rPr>
            <sz val="9"/>
            <color indexed="81"/>
            <rFont val="Tahoma"/>
            <family val="2"/>
          </rPr>
          <t xml:space="preserve">Worst case ripple current including inductor tolerance 
</t>
        </r>
      </text>
    </comment>
    <comment ref="E38" authorId="0" shapeId="0" xr:uid="{00000000-0006-0000-0000-000012000000}">
      <text>
        <r>
          <rPr>
            <sz val="9"/>
            <color indexed="81"/>
            <rFont val="Tahoma"/>
            <family val="2"/>
          </rPr>
          <t>This is the peak inductor current in the buck mode calculated at Vin(max).  This number depends on the final inductor value chosen and will typically be larger than normally expected in a pure buck regulator.  This is due to the smaller than optimum value of L  for pure buck mode operation. Note that this value is calculated at the chosen output current, not at current limit.</t>
        </r>
      </text>
    </comment>
    <comment ref="E39" authorId="0" shapeId="0" xr:uid="{00000000-0006-0000-0000-000013000000}">
      <text>
        <r>
          <rPr>
            <sz val="9"/>
            <color indexed="81"/>
            <rFont val="Tahoma"/>
            <family val="2"/>
          </rPr>
          <t xml:space="preserve">This is the peak inductor current in the buck-boost mode.  This value is calculated for the chosen </t>
        </r>
        <r>
          <rPr>
            <b/>
            <sz val="9"/>
            <color indexed="81"/>
            <rFont val="Tahoma"/>
            <family val="2"/>
          </rPr>
          <t xml:space="preserve">output current.  </t>
        </r>
        <r>
          <rPr>
            <sz val="9"/>
            <color indexed="81"/>
            <rFont val="Tahoma"/>
            <family val="2"/>
          </rPr>
          <t>This value will increase at current limit which is calculated below.  It is also the peak switch current and therefore the peak current the sense resistor will experience at the chosen output current.  The current limit threshold is internally doubled in buck-boost mode, therefore the buck mode current limit value set by Rs must be at least one-half this value.</t>
        </r>
        <r>
          <rPr>
            <sz val="9"/>
            <color indexed="81"/>
            <rFont val="Tahoma"/>
            <family val="2"/>
          </rPr>
          <t xml:space="preserve">
</t>
        </r>
      </text>
    </comment>
    <comment ref="E42" authorId="0" shapeId="0" xr:uid="{00000000-0006-0000-0000-000014000000}">
      <text>
        <r>
          <rPr>
            <sz val="9"/>
            <color indexed="81"/>
            <rFont val="Tahoma"/>
            <family val="2"/>
          </rPr>
          <t>Some margin beyond the maximum load current is recommended for the current limit threshold.   
5% - 20%  is a reasonable starting point depending on selected component and LM5118 current limit threshold tolerances. 
Many low value resistors make for current sense applications are offered in a limited number of standard values.  This is a factor in the margin selected.</t>
        </r>
        <r>
          <rPr>
            <sz val="9"/>
            <color indexed="81"/>
            <rFont val="Tahoma"/>
            <family val="2"/>
          </rPr>
          <t xml:space="preserve">
</t>
        </r>
      </text>
    </comment>
    <comment ref="E43" authorId="2" shapeId="0" xr:uid="{00000000-0006-0000-0000-000015000000}">
      <text>
        <r>
          <rPr>
            <sz val="9"/>
            <color indexed="81"/>
            <rFont val="Tahoma"/>
            <family val="2"/>
          </rPr>
          <t>Selected value must be greater than calculated value</t>
        </r>
      </text>
    </comment>
    <comment ref="E45" authorId="2" shapeId="0" xr:uid="{00000000-0006-0000-0000-000016000000}">
      <text>
        <r>
          <rPr>
            <sz val="9"/>
            <color indexed="81"/>
            <rFont val="Tahoma"/>
            <family val="2"/>
          </rPr>
          <t>Selected value must be greater than calculated value</t>
        </r>
      </text>
    </comment>
    <comment ref="E47" authorId="3" shapeId="0" xr:uid="{00000000-0006-0000-0000-000017000000}">
      <text>
        <r>
          <rPr>
            <sz val="9"/>
            <color indexed="81"/>
            <rFont val="Tahoma"/>
            <family val="2"/>
          </rPr>
          <t>Rs value calculated to allow enough peak current to support Iout  in buck and buck-boost modes.</t>
        </r>
      </text>
    </comment>
    <comment ref="E53" authorId="0" shapeId="0" xr:uid="{00000000-0006-0000-0000-000018000000}">
      <text>
        <r>
          <rPr>
            <sz val="9"/>
            <color indexed="81"/>
            <rFont val="Tahoma"/>
            <family val="2"/>
          </rPr>
          <t xml:space="preserve">For duty cycles greater than 50%, peak current mode control circuits are subject to sub-harmonic oscillation.  50µA of fixed slope compensation is added to the LM5118, however at input voltages in excess of 20V, additional slope compensation may be required.  </t>
        </r>
      </text>
    </comment>
    <comment ref="E56" authorId="2" shapeId="0" xr:uid="{00000000-0006-0000-0000-000019000000}">
      <text>
        <r>
          <rPr>
            <sz val="9"/>
            <color indexed="81"/>
            <rFont val="Tahoma"/>
            <family val="2"/>
          </rPr>
          <t>This is the peak current limit for buck mode. When the inductor current reaches this level the PWM cycle is terminated.</t>
        </r>
      </text>
    </comment>
    <comment ref="E57" authorId="2" shapeId="0" xr:uid="{00000000-0006-0000-0000-00001A000000}">
      <text>
        <r>
          <rPr>
            <sz val="9"/>
            <color indexed="81"/>
            <rFont val="Tahoma"/>
            <family val="2"/>
          </rPr>
          <t xml:space="preserve">This is the peak current limit for buck mode. When the inductor current reaches this level the PWM cycle is terminated.
</t>
        </r>
      </text>
    </comment>
    <comment ref="E62" authorId="0" shapeId="0" xr:uid="{00000000-0006-0000-0000-00001B000000}">
      <text>
        <r>
          <rPr>
            <sz val="9"/>
            <color indexed="81"/>
            <rFont val="Tahoma"/>
            <family val="2"/>
          </rPr>
          <t>The output capacitor(s) must be able to withstand this ripple value without overheating over the operating temperature range.</t>
        </r>
        <r>
          <rPr>
            <sz val="9"/>
            <color indexed="81"/>
            <rFont val="Tahoma"/>
            <family val="2"/>
          </rPr>
          <t xml:space="preserve">
</t>
        </r>
      </text>
    </comment>
    <comment ref="E63" authorId="0" shapeId="0" xr:uid="{00000000-0006-0000-0000-00001C000000}">
      <text>
        <r>
          <rPr>
            <sz val="9"/>
            <color indexed="81"/>
            <rFont val="Tahoma"/>
            <family val="2"/>
          </rPr>
          <t xml:space="preserve">This value is the minimum capacitance value required to reduce the ripple current to the desired value.  This value assumes all the output ripple is due to the capacitor value.  The actual capacitor value will usually be larger to account for ripple generated across the capacitor ESR.
</t>
        </r>
      </text>
    </comment>
    <comment ref="E64" authorId="0" shapeId="0" xr:uid="{00000000-0006-0000-0000-00001D000000}">
      <text>
        <r>
          <rPr>
            <sz val="9"/>
            <color indexed="81"/>
            <rFont val="Tahoma"/>
            <family val="2"/>
          </rPr>
          <t xml:space="preserve">This value assumes the output capacitor is large enough to ignore it's contribution to output ripple.  In this case, ripple is determined by ESR.
</t>
        </r>
      </text>
    </comment>
    <comment ref="E67" authorId="0" shapeId="0" xr:uid="{00000000-0006-0000-0000-00001E000000}">
      <text>
        <r>
          <rPr>
            <sz val="9"/>
            <color indexed="81"/>
            <rFont val="Tahoma"/>
            <family val="2"/>
          </rPr>
          <t>This value is calculated at maximum Vin where ripple is highest.</t>
        </r>
        <r>
          <rPr>
            <sz val="9"/>
            <color indexed="81"/>
            <rFont val="Tahoma"/>
            <family val="2"/>
          </rPr>
          <t xml:space="preserve">
</t>
        </r>
      </text>
    </comment>
    <comment ref="E70" authorId="0" shapeId="0" xr:uid="{00000000-0006-0000-0000-00001F000000}">
      <text>
        <r>
          <rPr>
            <sz val="9"/>
            <color indexed="81"/>
            <rFont val="Tahoma"/>
            <family val="2"/>
          </rPr>
          <t xml:space="preserve">The worst case RMS ripple current occurs at minimum Vin.
</t>
        </r>
      </text>
    </comment>
    <comment ref="E71" authorId="0" shapeId="0" xr:uid="{00000000-0006-0000-0000-000020000000}">
      <text>
        <r>
          <rPr>
            <sz val="9"/>
            <color indexed="81"/>
            <rFont val="Tahoma"/>
            <family val="2"/>
          </rPr>
          <t xml:space="preserve">The input capacitors should have a low ESR to hold the input voltage ripple to a value consistent with design goals.  For example, the valley of the input ripple voltage subtracts from the effective Vin and could trip the UVLO circuit and Vin(min).
</t>
        </r>
      </text>
    </comment>
    <comment ref="E74" authorId="0" shapeId="0" xr:uid="{00000000-0006-0000-0000-000021000000}">
      <text>
        <r>
          <rPr>
            <sz val="9"/>
            <color indexed="81"/>
            <rFont val="Tahoma"/>
            <family val="2"/>
          </rPr>
          <t xml:space="preserve">The input capacitor(s) must meet several criteria:  1) It must withstand the maximum input voltage.
2) It must have a ripple current rating high enough to handle the RMS current.
3) It must have an ESR rating low enough for the peak to peak input current rating to limit the input voltage swing at the IC. </t>
        </r>
        <r>
          <rPr>
            <b/>
            <sz val="9"/>
            <color indexed="81"/>
            <rFont val="Tahoma"/>
            <family val="2"/>
          </rPr>
          <t xml:space="preserve">
</t>
        </r>
        <r>
          <rPr>
            <sz val="9"/>
            <color indexed="81"/>
            <rFont val="Tahoma"/>
            <family val="2"/>
          </rPr>
          <t xml:space="preserve">
Good quality ceramic capacitors are good choices to</t>
        </r>
        <r>
          <rPr>
            <b/>
            <sz val="9"/>
            <color indexed="81"/>
            <rFont val="Tahoma"/>
            <family val="2"/>
          </rPr>
          <t xml:space="preserve"> </t>
        </r>
        <r>
          <rPr>
            <sz val="9"/>
            <color indexed="81"/>
            <rFont val="Tahoma"/>
            <family val="2"/>
          </rPr>
          <t>meet these criteria</t>
        </r>
        <r>
          <rPr>
            <b/>
            <sz val="9"/>
            <color indexed="81"/>
            <rFont val="Tahoma"/>
            <family val="2"/>
          </rPr>
          <t>.</t>
        </r>
      </text>
    </comment>
    <comment ref="E75" authorId="0" shapeId="0" xr:uid="{00000000-0006-0000-0000-000022000000}">
      <text>
        <r>
          <rPr>
            <sz val="9"/>
            <color indexed="81"/>
            <rFont val="Tahoma"/>
            <family val="2"/>
          </rPr>
          <t xml:space="preserve">Frequently the input capacitor(s) must have a higher value than referenced in the previous cell to meet all the criteria required.  Ceramic capacitors are a good choice because of their low ESR and high ripple current ratings.  If Electroltyic capacitors are used, values much higher than the previous calculated value may be required to meet ripple current and ESR ratings.
</t>
        </r>
      </text>
    </comment>
    <comment ref="E78" authorId="4" shapeId="0" xr:uid="{00000000-0006-0000-0000-000023000000}">
      <text>
        <r>
          <rPr>
            <sz val="9"/>
            <color indexed="81"/>
            <rFont val="Tahoma"/>
            <family val="2"/>
          </rPr>
          <t xml:space="preserve">Rfb1 is typically chosen to be a vlaue which will allow 1ma or greater divider current for noise immunity.  For example, for a 12 volt output choose Rb1 to be 1.2k or smaller. </t>
        </r>
      </text>
    </comment>
    <comment ref="E82" authorId="0" shapeId="0" xr:uid="{00000000-0006-0000-0000-000024000000}">
      <text>
        <r>
          <rPr>
            <sz val="9"/>
            <color indexed="81"/>
            <rFont val="Tahoma"/>
            <family val="2"/>
          </rPr>
          <t xml:space="preserve">Consistent with design goals, choose a MOSFET with the lowest Qg value.  This will minimize losses at higher frequencies.
</t>
        </r>
      </text>
    </comment>
    <comment ref="E85" authorId="0" shapeId="0" xr:uid="{00000000-0006-0000-0000-000025000000}">
      <text>
        <r>
          <rPr>
            <sz val="9"/>
            <color indexed="81"/>
            <rFont val="Tahoma"/>
            <family val="2"/>
          </rPr>
          <t xml:space="preserve">This value should be at least ten times larger than Chb.
</t>
        </r>
      </text>
    </comment>
    <comment ref="E88" authorId="0" shapeId="0" xr:uid="{00000000-0006-0000-0000-000026000000}">
      <text>
        <r>
          <rPr>
            <sz val="9"/>
            <color indexed="81"/>
            <rFont val="Tahoma"/>
            <family val="2"/>
          </rPr>
          <t xml:space="preserve">This zero location is determined by the L, Vin, Vout, and Iout.
</t>
        </r>
      </text>
    </comment>
    <comment ref="E91" authorId="1" shapeId="0" xr:uid="{00000000-0006-0000-0000-000027000000}">
      <text>
        <r>
          <rPr>
            <sz val="9"/>
            <color indexed="81"/>
            <rFont val="Tahoma"/>
            <family val="2"/>
          </rPr>
          <t xml:space="preserve">Typically, the bandwidth of the overall loop must be less than the right-half-plane zero by a factor of 3.5 to 5.  A factor of 4 was chosen for this example. A lower crossover frequency provides more margin from instability caused by the right-half-plane zero but causes the transient response slower.
</t>
        </r>
      </text>
    </comment>
    <comment ref="E93" authorId="2" shapeId="0" xr:uid="{00000000-0006-0000-0000-000028000000}">
      <text>
        <r>
          <rPr>
            <sz val="9"/>
            <color indexed="81"/>
            <rFont val="Tahoma"/>
            <charset val="1"/>
          </rPr>
          <t>Sets the pole at 1/10 the desired bandwidth</t>
        </r>
      </text>
    </comment>
    <comment ref="E94" authorId="2" shapeId="0" xr:uid="{00000000-0006-0000-0000-000029000000}">
      <text>
        <r>
          <rPr>
            <sz val="9"/>
            <color indexed="81"/>
            <rFont val="Tahoma"/>
            <family val="2"/>
          </rPr>
          <t>Places a pole close to the Right Half Plane zero frequency.</t>
        </r>
      </text>
    </comment>
    <comment ref="E107" authorId="0" shapeId="0" xr:uid="{00000000-0006-0000-0000-00002A000000}">
      <text>
        <r>
          <rPr>
            <sz val="9"/>
            <color indexed="81"/>
            <rFont val="Tahoma"/>
            <family val="2"/>
          </rPr>
          <t xml:space="preserve">This  is the minimum resistance value that insures that the current through R1 is low enough to allow the internal UVLO discharge switch to pull the UVLO pin low.
</t>
        </r>
      </text>
    </comment>
    <comment ref="E109" authorId="0" shapeId="0" xr:uid="{00000000-0006-0000-0000-00002B000000}">
      <text>
        <r>
          <rPr>
            <sz val="9"/>
            <color indexed="81"/>
            <rFont val="Tahoma"/>
            <family val="2"/>
          </rPr>
          <t xml:space="preserve">The UVLO threshold must be lower than the minimum input voltage with some margin for component tolerances.  Also consider  the the input ripple voltage which momentarily reduces Vin below the average Vin(min).
</t>
        </r>
      </text>
    </comment>
    <comment ref="E111" authorId="0" shapeId="0" xr:uid="{00000000-0006-0000-0000-00002C000000}">
      <text>
        <r>
          <rPr>
            <sz val="9"/>
            <color indexed="81"/>
            <rFont val="Tahoma"/>
            <family val="2"/>
          </rPr>
          <t xml:space="preserve">The off-time of the hiccup mode  current limiting  will determine how effectively power is limited in a prolonged short circuit condition. </t>
        </r>
      </text>
    </comment>
    <comment ref="E112" authorId="0" shapeId="0" xr:uid="{00000000-0006-0000-0000-00002D000000}">
      <text>
        <r>
          <rPr>
            <sz val="9"/>
            <color indexed="81"/>
            <rFont val="Tahoma"/>
            <family val="2"/>
          </rPr>
          <t xml:space="preserve">The hiccup mode off-time is a function of input voltage and should be chosen for the nominal operating parameters of a given design.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C:\Documents and Settings\crmcsc.INTERFACE\My Documents\PROJECTS\Buck-Boost\APPS BOARD\Latest Files\LM5118_EVAL_A9_BOM.XLS" keepAlive="1" name="LM5118_EVAL_A9_BOM" type="5" refreshedVersion="2" background="1" saveData="1">
    <dbPr connection="Provider=Microsoft.Jet.OLEDB.4.0;User ID=Admin;Data Source=C:\Documents and Settings\crmcsc.INTERFACE\My Documents\PROJECTS\Buck-Boost\APPS BOARD\Latest Files\LM5118_EVAL_A9_BOM.XLS;Mode=Share Deny Write;Extended Properties=&quot;HDR=YES;&quot;;Jet OLEDB:System database=&quot;&quot;;Jet OLEDB:Registry Path=&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 command="'Sheet1 (2)$'" commandType="3"/>
  </connection>
</connections>
</file>

<file path=xl/sharedStrings.xml><?xml version="1.0" encoding="utf-8"?>
<sst xmlns="http://schemas.openxmlformats.org/spreadsheetml/2006/main" count="217" uniqueCount="181">
  <si>
    <t>Vout (V)</t>
  </si>
  <si>
    <t>Vin(min) (V)</t>
  </si>
  <si>
    <t>Vin(max) (V)</t>
  </si>
  <si>
    <t>Step 2 - Switching Frequency</t>
  </si>
  <si>
    <t>Cramp (pF)</t>
  </si>
  <si>
    <t>Step 3 - Inductor Value</t>
  </si>
  <si>
    <t>Bandwidth (kHz)</t>
  </si>
  <si>
    <t>Right Half Plane Zero Frequency (kHz)</t>
  </si>
  <si>
    <t xml:space="preserve"> </t>
  </si>
  <si>
    <t>Cpole (nF)</t>
  </si>
  <si>
    <t>Czero (nF)</t>
  </si>
  <si>
    <t>Buck Mode Output Ripple Voltage (mV)</t>
  </si>
  <si>
    <t>Buck-Boost Mode Operation</t>
  </si>
  <si>
    <t>Cout</t>
  </si>
  <si>
    <t>L</t>
  </si>
  <si>
    <t>Rt</t>
  </si>
  <si>
    <t>Vinmax</t>
  </si>
  <si>
    <t>Vinmin</t>
  </si>
  <si>
    <t>Vout</t>
  </si>
  <si>
    <t>Component</t>
  </si>
  <si>
    <t>Description</t>
  </si>
  <si>
    <t>Value</t>
  </si>
  <si>
    <t>Cramp</t>
  </si>
  <si>
    <t>Rfb1</t>
  </si>
  <si>
    <t>Rs</t>
  </si>
  <si>
    <t>LM5118 List of Components</t>
  </si>
  <si>
    <t xml:space="preserve"> Step 1 - Application Requirements</t>
  </si>
  <si>
    <t>Step 4 - Calculate Output and Inductor Currents Based on Chosen Inductor</t>
  </si>
  <si>
    <t xml:space="preserve">Cin </t>
  </si>
  <si>
    <t>Input capacitor</t>
  </si>
  <si>
    <t>Ramp capacitor</t>
  </si>
  <si>
    <t>Css</t>
  </si>
  <si>
    <t>Soft start capacitor</t>
  </si>
  <si>
    <t>Output capacitor</t>
  </si>
  <si>
    <t>UVLO filter capacitor</t>
  </si>
  <si>
    <t>Compensation capacitor</t>
  </si>
  <si>
    <t>Cvcc</t>
  </si>
  <si>
    <t>VCC bypass capacitor</t>
  </si>
  <si>
    <t>Chb</t>
  </si>
  <si>
    <t>HB-SW bypass capacitor</t>
  </si>
  <si>
    <t>Feedback resistor</t>
  </si>
  <si>
    <t>Rfb2</t>
  </si>
  <si>
    <t>UVLO divider resistor</t>
  </si>
  <si>
    <t>Inductor</t>
  </si>
  <si>
    <t>Rramp</t>
  </si>
  <si>
    <t>Optional ramp resistor</t>
  </si>
  <si>
    <t>Rcomp</t>
  </si>
  <si>
    <t>Compensation resistor</t>
  </si>
  <si>
    <t>Modulator
Gain
(dB)</t>
  </si>
  <si>
    <t>Modulator
Phase
(deg)</t>
  </si>
  <si>
    <t>Error Amplifier Gain
(dB)</t>
  </si>
  <si>
    <t>Error Amplifier Phase (deg)</t>
  </si>
  <si>
    <t>Overall Loop
Gain
(dB)</t>
  </si>
  <si>
    <t>Loop
Phase
(deg)</t>
  </si>
  <si>
    <t>Vin</t>
  </si>
  <si>
    <t>10 is buck</t>
  </si>
  <si>
    <t>10 is buck-boost</t>
  </si>
  <si>
    <t>Cpole</t>
  </si>
  <si>
    <t>Czero</t>
  </si>
  <si>
    <t>Buck-Boost RMS Input Ripple Current (A)</t>
  </si>
  <si>
    <t>Buck-Boost Mode Peak to Peak Current Ripple in Input Cap (A)</t>
  </si>
  <si>
    <t>Buck Mode RMS input Ripple Current (A)</t>
  </si>
  <si>
    <t>Buck Mode Peak to Peak Current Ripple in Input Cap (A)</t>
  </si>
  <si>
    <t>Lower ts limit</t>
  </si>
  <si>
    <t>Upper ts limit</t>
  </si>
  <si>
    <t>Lo B-B Voltage</t>
  </si>
  <si>
    <t>Hi B-B voltage</t>
  </si>
  <si>
    <t>Lower Buck</t>
  </si>
  <si>
    <t>Upper Buck</t>
  </si>
  <si>
    <t xml:space="preserve">NEW </t>
  </si>
  <si>
    <t>Offset</t>
  </si>
  <si>
    <t>Buck</t>
  </si>
  <si>
    <t>Offset-Buck</t>
  </si>
  <si>
    <t>Buck-Boost</t>
  </si>
  <si>
    <t>Graph-Trans</t>
  </si>
  <si>
    <t>Offset-Trans</t>
  </si>
  <si>
    <t>Target output ripple (mV)</t>
  </si>
  <si>
    <t>1/16 W</t>
  </si>
  <si>
    <t>Sense resistor</t>
  </si>
  <si>
    <t>Oscillator timing resistor</t>
  </si>
  <si>
    <t>Cr</t>
  </si>
  <si>
    <r>
      <t xml:space="preserve">Buck-Boost Ripple Current at Vin=Vout, </t>
    </r>
    <r>
      <rPr>
        <sz val="10"/>
        <rFont val="Arial"/>
        <family val="2"/>
      </rPr>
      <t>ΔI</t>
    </r>
    <r>
      <rPr>
        <sz val="8.5"/>
        <rFont val="Arial"/>
        <family val="2"/>
      </rPr>
      <t xml:space="preserve"> </t>
    </r>
    <r>
      <rPr>
        <sz val="10"/>
        <rFont val="Arial"/>
        <family val="2"/>
      </rPr>
      <t xml:space="preserve">(A) </t>
    </r>
  </si>
  <si>
    <t>Buck-Boost Ripple Current at Vin(min), ΔI (A)</t>
  </si>
  <si>
    <t>Buck-Mode Peak Inductor Current, Ip(b) (A)</t>
  </si>
  <si>
    <t>Buck-Boost Mode Peak Inductor Current, Ip(b-b) (A)</t>
  </si>
  <si>
    <r>
      <t>Current Sense Resistor, Rs (m</t>
    </r>
    <r>
      <rPr>
        <sz val="10"/>
        <rFont val="Symbol"/>
        <family val="1"/>
        <charset val="2"/>
      </rPr>
      <t>W</t>
    </r>
    <r>
      <rPr>
        <sz val="10"/>
        <rFont val="Arial"/>
        <family val="2"/>
      </rPr>
      <t>)</t>
    </r>
  </si>
  <si>
    <r>
      <t>Closest Standard Value, Rs (m</t>
    </r>
    <r>
      <rPr>
        <sz val="10"/>
        <rFont val="Symbol"/>
        <family val="1"/>
        <charset val="2"/>
      </rPr>
      <t>W</t>
    </r>
    <r>
      <rPr>
        <sz val="10"/>
        <rFont val="Arial"/>
        <family val="2"/>
      </rPr>
      <t>)</t>
    </r>
  </si>
  <si>
    <t>Buck-Boost RMS Ripple Current in Output Cap (A)</t>
  </si>
  <si>
    <r>
      <t>Rfb1 (</t>
    </r>
    <r>
      <rPr>
        <sz val="10"/>
        <rFont val="Symbol"/>
        <family val="1"/>
        <charset val="2"/>
      </rPr>
      <t>W</t>
    </r>
    <r>
      <rPr>
        <sz val="10"/>
        <rFont val="Arial"/>
        <family val="2"/>
      </rPr>
      <t>)</t>
    </r>
  </si>
  <si>
    <r>
      <t>Rfb2 (</t>
    </r>
    <r>
      <rPr>
        <sz val="10"/>
        <rFont val="Symbol"/>
        <family val="1"/>
        <charset val="2"/>
      </rPr>
      <t>W</t>
    </r>
    <r>
      <rPr>
        <sz val="10"/>
        <rFont val="Arial"/>
        <family val="2"/>
      </rPr>
      <t>)</t>
    </r>
  </si>
  <si>
    <r>
      <t>Rcomp (</t>
    </r>
    <r>
      <rPr>
        <sz val="10"/>
        <rFont val="Symbol"/>
        <family val="1"/>
        <charset val="2"/>
      </rPr>
      <t>W</t>
    </r>
    <r>
      <rPr>
        <sz val="10"/>
        <rFont val="Arial"/>
        <family val="2"/>
      </rPr>
      <t>)</t>
    </r>
  </si>
  <si>
    <r>
      <t>Required COUT ESR (m</t>
    </r>
    <r>
      <rPr>
        <sz val="10"/>
        <rFont val="Symbol"/>
        <family val="1"/>
        <charset val="2"/>
      </rPr>
      <t>W</t>
    </r>
    <r>
      <rPr>
        <sz val="10"/>
        <rFont val="Arial"/>
        <family val="2"/>
      </rPr>
      <t>)</t>
    </r>
  </si>
  <si>
    <t>Frequency (Hz)</t>
  </si>
  <si>
    <t>Frequency (rad/sec)</t>
  </si>
  <si>
    <r>
      <t>Rramp (k</t>
    </r>
    <r>
      <rPr>
        <sz val="10"/>
        <rFont val="Symbol"/>
        <family val="1"/>
        <charset val="2"/>
      </rPr>
      <t>W</t>
    </r>
    <r>
      <rPr>
        <sz val="10"/>
        <rFont val="Arial"/>
        <family val="2"/>
      </rPr>
      <t>)</t>
    </r>
  </si>
  <si>
    <t>Step 9 - Output Capacitors (Based on Worst Case Conditions for Each Mode)</t>
  </si>
  <si>
    <t>Step 10 - Input Capacitors (Based on Worst Case Conditions for Each Mode)</t>
  </si>
  <si>
    <t>Maximum Possible Switching Frequency (kHz)</t>
  </si>
  <si>
    <t>Switching Frequency (kHz)</t>
  </si>
  <si>
    <t>Chosen COUT output capacitor value (µF)</t>
  </si>
  <si>
    <t>Chosen CIN Input Capacitor Value (µF)</t>
  </si>
  <si>
    <t>Chosen Value for Chb (µF)</t>
  </si>
  <si>
    <t>Calculated Buck Mode Inductor Value, Lb (µH)</t>
  </si>
  <si>
    <t>Calculated Buck-Boost Mode Inductor Value, Lb-b (µH)</t>
  </si>
  <si>
    <t>Actual Chosen Inductor Value, L (µH)</t>
  </si>
  <si>
    <r>
      <t>Timing Resistor, Rt (k</t>
    </r>
    <r>
      <rPr>
        <sz val="10"/>
        <rFont val="Symbol"/>
        <family val="1"/>
        <charset val="2"/>
      </rPr>
      <t>W</t>
    </r>
    <r>
      <rPr>
        <sz val="10"/>
        <rFont val="Arial"/>
        <family val="2"/>
      </rPr>
      <t>)</t>
    </r>
  </si>
  <si>
    <t>VCCX Voltage (V)</t>
  </si>
  <si>
    <r>
      <t xml:space="preserve">Buck mode Ripple Current at Vin(max), </t>
    </r>
    <r>
      <rPr>
        <sz val="10"/>
        <rFont val="Arial"/>
        <family val="2"/>
      </rPr>
      <t>ΔI</t>
    </r>
    <r>
      <rPr>
        <sz val="8.5"/>
        <rFont val="Arial"/>
        <family val="2"/>
      </rPr>
      <t xml:space="preserve"> (</t>
    </r>
    <r>
      <rPr>
        <sz val="10"/>
        <rFont val="Arial"/>
        <family val="2"/>
      </rPr>
      <t>A</t>
    </r>
    <r>
      <rPr>
        <sz val="8.5"/>
        <rFont val="Arial"/>
        <family val="2"/>
      </rPr>
      <t>)</t>
    </r>
  </si>
  <si>
    <t>Minimum COUT output Capacitor Value (µF)</t>
  </si>
  <si>
    <t>Current Limit Margin (% beyond Max Load) (%)</t>
  </si>
  <si>
    <t>Buck-Boost Duty cycle at Vin(min) (%)</t>
  </si>
  <si>
    <t>Choose off-time of hiccup duty cycle (µs)</t>
  </si>
  <si>
    <t>Maximum Average Load Current Iout (A)</t>
  </si>
  <si>
    <t>Ripple Current as % of Maximum Load Current (%)</t>
  </si>
  <si>
    <t>Vin at start of  Transition to Buck-Boost Mode (V)</t>
  </si>
  <si>
    <t>Recommended Controller IC</t>
  </si>
  <si>
    <t>High-side MOSFET Qg at VGS=10V (nC)</t>
  </si>
  <si>
    <t>Minimum Bootstrap Capacitor Chb (µF)</t>
  </si>
  <si>
    <t>Minimum VCC Bypass Capacitor Cvcc (µF)</t>
  </si>
  <si>
    <t>Choose soft-start time (ms)</t>
  </si>
  <si>
    <t>Desired Undervoltage Threshold (V)</t>
  </si>
  <si>
    <t xml:space="preserve">Vin voltage for desired hiccup mode off-time  (V)  </t>
  </si>
  <si>
    <t>Ruv1</t>
  </si>
  <si>
    <t>Ruv2</t>
  </si>
  <si>
    <r>
      <t>Minimum Value of Resistor Ruv1  (k</t>
    </r>
    <r>
      <rPr>
        <sz val="10"/>
        <rFont val="Symbol"/>
        <family val="1"/>
        <charset val="2"/>
      </rPr>
      <t>W</t>
    </r>
    <r>
      <rPr>
        <sz val="10"/>
        <rFont val="Arial"/>
        <family val="2"/>
      </rPr>
      <t>)</t>
    </r>
  </si>
  <si>
    <r>
      <t>Chosen Value of  Ruv1 (k</t>
    </r>
    <r>
      <rPr>
        <sz val="10"/>
        <rFont val="Symbol"/>
        <family val="1"/>
        <charset val="2"/>
      </rPr>
      <t>W</t>
    </r>
    <r>
      <rPr>
        <sz val="10"/>
        <rFont val="Arial"/>
        <family val="2"/>
      </rPr>
      <t>)</t>
    </r>
  </si>
  <si>
    <r>
      <t>Ruv2 Value (k</t>
    </r>
    <r>
      <rPr>
        <sz val="10"/>
        <rFont val="Symbol"/>
        <family val="1"/>
        <charset val="2"/>
      </rPr>
      <t>W</t>
    </r>
    <r>
      <rPr>
        <sz val="10"/>
        <rFont val="Arial"/>
        <family val="2"/>
      </rPr>
      <t>)</t>
    </r>
  </si>
  <si>
    <t>Soft Start Capacitor Value (nF)</t>
  </si>
  <si>
    <r>
      <t>Initial Input Capacitor Value(</t>
    </r>
    <r>
      <rPr>
        <sz val="10"/>
        <rFont val="Arial"/>
        <family val="2"/>
      </rPr>
      <t>μF)</t>
    </r>
  </si>
  <si>
    <t xml:space="preserve"> Enter design requirements in the shaded cells</t>
  </si>
  <si>
    <t>Effciency of Converter (%)</t>
  </si>
  <si>
    <t>Inductor Tolerance (%)</t>
  </si>
  <si>
    <r>
      <t xml:space="preserve">Buck mode Ripple Current at Vin(max), Including inductor tolerance, </t>
    </r>
    <r>
      <rPr>
        <sz val="10"/>
        <rFont val="Arial"/>
        <family val="2"/>
      </rPr>
      <t>ΔI</t>
    </r>
    <r>
      <rPr>
        <sz val="8.5"/>
        <rFont val="Arial"/>
        <family val="2"/>
      </rPr>
      <t xml:space="preserve"> (</t>
    </r>
    <r>
      <rPr>
        <sz val="10"/>
        <rFont val="Arial"/>
        <family val="2"/>
      </rPr>
      <t>A</t>
    </r>
    <r>
      <rPr>
        <sz val="8.5"/>
        <rFont val="Arial"/>
        <family val="2"/>
      </rPr>
      <t>)</t>
    </r>
  </si>
  <si>
    <t>Buck-Boost Ripple Current at Vin(min), Including inductor tolerance, ΔI (A)</t>
  </si>
  <si>
    <t>Buck Mode K Factor (K)</t>
  </si>
  <si>
    <t>Buck-Boost Mode K Factor (K)</t>
  </si>
  <si>
    <t>Closest Smaller Standard Value, Cramp (pF)</t>
  </si>
  <si>
    <t>Step 5 - Sense Resistor</t>
  </si>
  <si>
    <t>Step 6 - Ramp Capacitor</t>
  </si>
  <si>
    <t>Step 7 - Current Limits</t>
  </si>
  <si>
    <t>Buck Mode Peak Inductor Current Limit (A)</t>
  </si>
  <si>
    <t>Buck-Boost Mode Peak Inductor Current Limit (A)</t>
  </si>
  <si>
    <t>Capacitor ESR Zero Frequency (kHz)</t>
  </si>
  <si>
    <t>Capacitor Pole Frequency (kHz)</t>
  </si>
  <si>
    <t>Buck-Boost Mode</t>
  </si>
  <si>
    <t xml:space="preserve">Buck Mode </t>
  </si>
  <si>
    <r>
      <t>Select nearest Standard Rcomp Value (</t>
    </r>
    <r>
      <rPr>
        <sz val="10"/>
        <rFont val="Symbol"/>
        <family val="1"/>
        <charset val="2"/>
      </rPr>
      <t>W</t>
    </r>
    <r>
      <rPr>
        <sz val="10"/>
        <rFont val="Arial"/>
        <family val="2"/>
      </rPr>
      <t>)</t>
    </r>
  </si>
  <si>
    <t>Select Nearest Standard Cpole Value (nF)</t>
  </si>
  <si>
    <t>Select Nearest Standard Czero Value (nF)</t>
  </si>
  <si>
    <t>Selected Buck Mode K Factor (K)</t>
  </si>
  <si>
    <t>Selected Buck-Boost Mode K Factor (K)</t>
  </si>
  <si>
    <t>wp</t>
  </si>
  <si>
    <t>wz</t>
  </si>
  <si>
    <t>wr</t>
  </si>
  <si>
    <t>Error Amp</t>
  </si>
  <si>
    <t>Am</t>
  </si>
  <si>
    <t>wzea</t>
  </si>
  <si>
    <t>wpea</t>
  </si>
  <si>
    <t>Afb</t>
  </si>
  <si>
    <t>rad/sec</t>
  </si>
  <si>
    <t>Hz</t>
  </si>
  <si>
    <t>Gain</t>
  </si>
  <si>
    <t>dB</t>
  </si>
  <si>
    <t>Modulator - Buck-Boost</t>
  </si>
  <si>
    <t>Modulator - Buck</t>
  </si>
  <si>
    <t>Selected Bandwith (kHz)</t>
  </si>
  <si>
    <r>
      <t>Actual COUT ESR (m</t>
    </r>
    <r>
      <rPr>
        <sz val="10"/>
        <rFont val="Symbol"/>
        <family val="1"/>
        <charset val="2"/>
      </rPr>
      <t>W</t>
    </r>
    <r>
      <rPr>
        <sz val="10"/>
        <rFont val="Arial"/>
        <family val="2"/>
      </rPr>
      <t>)</t>
    </r>
  </si>
  <si>
    <t>Step 11 - Feedback Resistors</t>
  </si>
  <si>
    <t>Step 12 - Chb &amp; Cvcc Capacitor</t>
  </si>
  <si>
    <t>Step 13 - Error Amplifier Compensation</t>
  </si>
  <si>
    <t>Step 14 - Soft Start capacitor</t>
  </si>
  <si>
    <t>Step 15 - UVLO Threshold and Hiccup Mode Restart</t>
  </si>
  <si>
    <t>Target Compensation Zero (kHz)</t>
  </si>
  <si>
    <t>Target Compensation Pole (kHz)</t>
  </si>
  <si>
    <t>LM(2)5118 Quick Start Component Calculator</t>
  </si>
  <si>
    <t>Minimum Rating</t>
  </si>
  <si>
    <t>Buck Average Inductor Current at Vin(max), Including Effciency (A)</t>
  </si>
  <si>
    <t>Buck-Boost Average Inductor Current at Vin(min), Including Effciency (A)</t>
  </si>
  <si>
    <t>Hiccup Mode Off-time Capacitor Value Cr (nF)</t>
  </si>
  <si>
    <t>Version 2.01</t>
  </si>
  <si>
    <t>Revision date:  April 2014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</si>
</sst>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76" formatCode="0.000"/>
    <numFmt numFmtId="177" formatCode="0&quot;%&quot;"/>
    <numFmt numFmtId="178" formatCode="0.0000"/>
    <numFmt numFmtId="179" formatCode="0.0"/>
    <numFmt numFmtId="180" formatCode="0\ &quot;V&quot;"/>
    <numFmt numFmtId="181" formatCode="0.0\ &quot;W&quot;"/>
    <numFmt numFmtId="182" formatCode="0.0\ &quot;A&quot;"/>
    <numFmt numFmtId="183" formatCode="#,##0;[Red]#,##0"/>
    <numFmt numFmtId="184" formatCode="0.0000E+00"/>
    <numFmt numFmtId="185" formatCode="0.000E+00"/>
    <numFmt numFmtId="186" formatCode="#,##0.00;[Red]#,##0.00"/>
    <numFmt numFmtId="187" formatCode="#,##0.0;[Red]#,##0.0"/>
    <numFmt numFmtId="188" formatCode="0.0\ &quot;μF&quot;"/>
    <numFmt numFmtId="189" formatCode="#,##0\ &quot;pF&quot;"/>
    <numFmt numFmtId="190" formatCode="#,##0\ &quot;μF&quot;"/>
    <numFmt numFmtId="191" formatCode="0.00\ &quot;μF&quot;"/>
    <numFmt numFmtId="192" formatCode="#,##0\ &quot;Ω&quot;"/>
    <numFmt numFmtId="193" formatCode="0.00\ &quot;kΩ&quot;"/>
    <numFmt numFmtId="194" formatCode="0.0\ &quot;kΩ&quot;"/>
    <numFmt numFmtId="195" formatCode="0.0\ &quot;mΩ&quot;"/>
    <numFmt numFmtId="196" formatCode="0.0\ &quot;μH&quot;"/>
    <numFmt numFmtId="197" formatCode="0.0\ &quot;nF&quot;"/>
    <numFmt numFmtId="198" formatCode="0\ &quot;μF&quot;"/>
  </numFmts>
  <fonts count="26" x14ac:knownFonts="1">
    <font>
      <sz val="10"/>
      <name val="Arial"/>
    </font>
    <font>
      <sz val="10"/>
      <name val="Arial"/>
      <family val="2"/>
    </font>
    <font>
      <b/>
      <sz val="14"/>
      <name val="Arial"/>
      <family val="2"/>
    </font>
    <font>
      <sz val="8"/>
      <color indexed="22"/>
      <name val="Arial"/>
      <family val="2"/>
    </font>
    <font>
      <sz val="8"/>
      <name val="Arial"/>
      <family val="2"/>
    </font>
    <font>
      <sz val="8"/>
      <color indexed="10"/>
      <name val="Arial"/>
      <family val="2"/>
    </font>
    <font>
      <b/>
      <sz val="8"/>
      <name val="Arial"/>
      <family val="2"/>
    </font>
    <font>
      <sz val="10"/>
      <color indexed="10"/>
      <name val="Arial"/>
      <family val="2"/>
    </font>
    <font>
      <b/>
      <sz val="10"/>
      <name val="Arial"/>
      <family val="2"/>
    </font>
    <font>
      <sz val="10"/>
      <color indexed="12"/>
      <name val="Arial"/>
      <family val="2"/>
    </font>
    <font>
      <b/>
      <sz val="10"/>
      <color indexed="12"/>
      <name val="Arial"/>
      <family val="2"/>
    </font>
    <font>
      <b/>
      <sz val="10"/>
      <color indexed="12"/>
      <name val="Arial"/>
      <family val="2"/>
    </font>
    <font>
      <sz val="10"/>
      <name val="Arial"/>
      <family val="2"/>
    </font>
    <font>
      <sz val="8.5"/>
      <name val="Arial"/>
      <family val="2"/>
    </font>
    <font>
      <b/>
      <sz val="8"/>
      <color indexed="12"/>
      <name val="Arial"/>
      <family val="2"/>
    </font>
    <font>
      <b/>
      <sz val="10"/>
      <color indexed="10"/>
      <name val="Arial"/>
      <family val="2"/>
    </font>
    <font>
      <sz val="10"/>
      <name val="Symbol"/>
      <family val="1"/>
      <charset val="2"/>
    </font>
    <font>
      <sz val="10"/>
      <color indexed="14"/>
      <name val="Arial"/>
      <family val="2"/>
    </font>
    <font>
      <b/>
      <sz val="10"/>
      <color indexed="52"/>
      <name val="Arial"/>
      <family val="2"/>
    </font>
    <font>
      <b/>
      <i/>
      <sz val="10"/>
      <color indexed="10"/>
      <name val="Arial"/>
      <family val="2"/>
    </font>
    <font>
      <sz val="9"/>
      <color indexed="81"/>
      <name val="Tahoma"/>
      <family val="2"/>
    </font>
    <font>
      <b/>
      <sz val="9"/>
      <color indexed="81"/>
      <name val="Tahoma"/>
      <family val="2"/>
    </font>
    <font>
      <u/>
      <sz val="16"/>
      <name val="Arial"/>
      <family val="2"/>
    </font>
    <font>
      <u/>
      <sz val="10"/>
      <name val="Arial"/>
      <family val="2"/>
    </font>
    <font>
      <sz val="9"/>
      <color indexed="81"/>
      <name val="Tahoma"/>
      <charset val="1"/>
    </font>
    <font>
      <sz val="8"/>
      <color theme="0" tint="-0.34998626667073579"/>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theme="0" tint="-0.14999847407452621"/>
        <bgColor indexed="64"/>
      </patternFill>
    </fill>
    <fill>
      <patternFill patternType="solid">
        <fgColor rgb="FFCCFFFF"/>
        <bgColor indexed="64"/>
      </patternFill>
    </fill>
  </fills>
  <borders count="23">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2" fillId="0" borderId="0"/>
    <xf numFmtId="9" fontId="1" fillId="0" borderId="0" applyFont="0" applyFill="0" applyBorder="0" applyAlignment="0" applyProtection="0"/>
  </cellStyleXfs>
  <cellXfs count="216">
    <xf numFmtId="0" fontId="0" fillId="0" borderId="0" xfId="0"/>
    <xf numFmtId="2" fontId="0" fillId="0" borderId="0" xfId="0" applyNumberFormat="1"/>
    <xf numFmtId="0" fontId="0" fillId="0" borderId="0" xfId="0" applyAlignment="1">
      <alignment horizontal="center"/>
    </xf>
    <xf numFmtId="0" fontId="8" fillId="0" borderId="0" xfId="0" applyFont="1" applyAlignment="1">
      <alignment horizontal="center" wrapText="1"/>
    </xf>
    <xf numFmtId="1" fontId="0" fillId="0" borderId="0" xfId="0" applyNumberFormat="1" applyAlignment="1">
      <alignment horizontal="center"/>
    </xf>
    <xf numFmtId="11" fontId="0" fillId="0" borderId="0" xfId="0" applyNumberFormat="1"/>
    <xf numFmtId="0" fontId="8" fillId="0" borderId="0" xfId="0" applyFont="1"/>
    <xf numFmtId="0" fontId="2" fillId="0" borderId="0" xfId="0" applyFont="1" applyProtection="1">
      <protection locked="0"/>
    </xf>
    <xf numFmtId="0" fontId="0" fillId="0" borderId="0" xfId="0" applyProtection="1">
      <protection locked="0"/>
    </xf>
    <xf numFmtId="0" fontId="17" fillId="0" borderId="0" xfId="0" applyFont="1" applyProtection="1">
      <protection locked="0"/>
    </xf>
    <xf numFmtId="0" fontId="0" fillId="0" borderId="0" xfId="0" applyAlignment="1" applyProtection="1">
      <alignment horizontal="right"/>
      <protection locked="0"/>
    </xf>
    <xf numFmtId="0" fontId="3" fillId="0" borderId="0" xfId="0" applyFont="1" applyProtection="1">
      <protection locked="0"/>
    </xf>
    <xf numFmtId="0" fontId="6" fillId="0" borderId="0" xfId="0" applyFont="1" applyProtection="1">
      <protection locked="0"/>
    </xf>
    <xf numFmtId="0" fontId="4" fillId="0" borderId="0" xfId="0" applyFont="1" applyProtection="1">
      <protection locked="0"/>
    </xf>
    <xf numFmtId="0" fontId="1" fillId="0" borderId="0" xfId="0" applyFont="1" applyAlignment="1" applyProtection="1">
      <alignment horizontal="right"/>
      <protection locked="0"/>
    </xf>
    <xf numFmtId="2" fontId="10" fillId="2" borderId="1" xfId="0" applyNumberFormat="1" applyFont="1" applyFill="1" applyBorder="1" applyProtection="1">
      <protection locked="0"/>
    </xf>
    <xf numFmtId="2" fontId="4" fillId="2" borderId="1" xfId="0" applyNumberFormat="1" applyFont="1" applyFill="1" applyBorder="1" applyProtection="1">
      <protection locked="0"/>
    </xf>
    <xf numFmtId="2" fontId="1" fillId="2" borderId="1" xfId="0" applyNumberFormat="1" applyFont="1" applyFill="1" applyBorder="1" applyAlignment="1" applyProtection="1">
      <alignment horizontal="right"/>
      <protection locked="0"/>
    </xf>
    <xf numFmtId="2" fontId="0" fillId="2" borderId="1" xfId="0" applyNumberFormat="1" applyFill="1" applyBorder="1" applyProtection="1">
      <protection locked="0"/>
    </xf>
    <xf numFmtId="0" fontId="1" fillId="2" borderId="1" xfId="0" applyFont="1" applyFill="1" applyBorder="1" applyAlignment="1" applyProtection="1">
      <alignment horizontal="center"/>
      <protection locked="0"/>
    </xf>
    <xf numFmtId="0" fontId="0" fillId="2" borderId="0" xfId="0" applyFill="1" applyProtection="1">
      <protection locked="0"/>
    </xf>
    <xf numFmtId="0" fontId="8" fillId="3" borderId="2" xfId="0" applyFont="1" applyFill="1" applyBorder="1" applyProtection="1">
      <protection locked="0"/>
    </xf>
    <xf numFmtId="0" fontId="0" fillId="3" borderId="3" xfId="0" applyFill="1" applyBorder="1" applyProtection="1">
      <protection locked="0"/>
    </xf>
    <xf numFmtId="0" fontId="1" fillId="3" borderId="3" xfId="0" applyFont="1" applyFill="1" applyBorder="1" applyAlignment="1" applyProtection="1">
      <alignment horizontal="right"/>
      <protection locked="0"/>
    </xf>
    <xf numFmtId="0" fontId="0" fillId="3" borderId="4" xfId="0" applyFill="1" applyBorder="1" applyProtection="1">
      <protection locked="0"/>
    </xf>
    <xf numFmtId="0" fontId="1" fillId="4" borderId="5" xfId="0" applyFont="1" applyFill="1" applyBorder="1" applyAlignment="1" applyProtection="1">
      <alignment horizontal="center"/>
      <protection locked="0"/>
    </xf>
    <xf numFmtId="0" fontId="9" fillId="0" borderId="0" xfId="0" applyFont="1" applyProtection="1">
      <protection locked="0"/>
    </xf>
    <xf numFmtId="0" fontId="15" fillId="3" borderId="6" xfId="0" applyFont="1" applyFill="1" applyBorder="1" applyProtection="1">
      <protection locked="0"/>
    </xf>
    <xf numFmtId="0" fontId="4" fillId="3" borderId="0" xfId="0" applyFont="1" applyFill="1" applyProtection="1">
      <protection locked="0"/>
    </xf>
    <xf numFmtId="0" fontId="1" fillId="3" borderId="0" xfId="0" applyFont="1" applyFill="1" applyAlignment="1" applyProtection="1">
      <alignment horizontal="right"/>
      <protection locked="0"/>
    </xf>
    <xf numFmtId="0" fontId="4" fillId="3" borderId="7" xfId="0" applyFont="1" applyFill="1" applyBorder="1" applyProtection="1">
      <protection locked="0"/>
    </xf>
    <xf numFmtId="0" fontId="1" fillId="4" borderId="8" xfId="0" applyFont="1" applyFill="1" applyBorder="1" applyAlignment="1" applyProtection="1">
      <alignment horizontal="center"/>
      <protection locked="0"/>
    </xf>
    <xf numFmtId="0" fontId="7" fillId="3" borderId="6" xfId="0" applyFont="1" applyFill="1" applyBorder="1" applyProtection="1">
      <protection locked="0"/>
    </xf>
    <xf numFmtId="0" fontId="4" fillId="3" borderId="6" xfId="0" applyFont="1" applyFill="1" applyBorder="1" applyProtection="1">
      <protection locked="0"/>
    </xf>
    <xf numFmtId="9" fontId="1" fillId="4" borderId="8" xfId="0" applyNumberFormat="1" applyFont="1" applyFill="1" applyBorder="1" applyAlignment="1" applyProtection="1">
      <alignment horizontal="center"/>
      <protection locked="0"/>
    </xf>
    <xf numFmtId="0" fontId="4" fillId="3" borderId="9" xfId="0" applyFont="1" applyFill="1" applyBorder="1" applyProtection="1">
      <protection locked="0"/>
    </xf>
    <xf numFmtId="0" fontId="4" fillId="3" borderId="1" xfId="0" applyFont="1" applyFill="1" applyBorder="1" applyProtection="1">
      <protection locked="0"/>
    </xf>
    <xf numFmtId="0" fontId="1" fillId="3" borderId="1" xfId="0" applyFont="1" applyFill="1" applyBorder="1" applyAlignment="1" applyProtection="1">
      <alignment horizontal="right"/>
      <protection locked="0"/>
    </xf>
    <xf numFmtId="0" fontId="4" fillId="3" borderId="5" xfId="0" applyFont="1" applyFill="1" applyBorder="1" applyProtection="1">
      <protection locked="0"/>
    </xf>
    <xf numFmtId="0" fontId="6" fillId="3" borderId="10" xfId="0" applyFont="1" applyFill="1" applyBorder="1" applyProtection="1">
      <protection locked="0"/>
    </xf>
    <xf numFmtId="0" fontId="4" fillId="3" borderId="11" xfId="0" applyFont="1" applyFill="1" applyBorder="1" applyProtection="1">
      <protection locked="0"/>
    </xf>
    <xf numFmtId="0" fontId="1" fillId="3" borderId="11" xfId="0" applyFont="1" applyFill="1" applyBorder="1" applyAlignment="1" applyProtection="1">
      <alignment horizontal="right"/>
      <protection locked="0"/>
    </xf>
    <xf numFmtId="0" fontId="4" fillId="3" borderId="8" xfId="0" applyFont="1" applyFill="1" applyBorder="1" applyProtection="1">
      <protection locked="0"/>
    </xf>
    <xf numFmtId="2" fontId="10" fillId="3" borderId="0" xfId="0" applyNumberFormat="1" applyFont="1" applyFill="1" applyProtection="1">
      <protection locked="0"/>
    </xf>
    <xf numFmtId="2" fontId="4" fillId="3" borderId="0" xfId="0" applyNumberFormat="1" applyFont="1" applyFill="1" applyProtection="1">
      <protection locked="0"/>
    </xf>
    <xf numFmtId="2" fontId="1" fillId="3" borderId="0" xfId="0" applyNumberFormat="1" applyFont="1" applyFill="1" applyAlignment="1" applyProtection="1">
      <alignment horizontal="right"/>
      <protection locked="0"/>
    </xf>
    <xf numFmtId="2" fontId="0" fillId="3" borderId="4" xfId="0" applyNumberFormat="1" applyFill="1" applyBorder="1" applyProtection="1">
      <protection locked="0"/>
    </xf>
    <xf numFmtId="0" fontId="1" fillId="4" borderId="12" xfId="0" applyFont="1" applyFill="1" applyBorder="1" applyAlignment="1" applyProtection="1">
      <alignment horizontal="center"/>
      <protection locked="0"/>
    </xf>
    <xf numFmtId="176" fontId="1" fillId="0" borderId="0" xfId="0" applyNumberFormat="1" applyFont="1" applyAlignment="1" applyProtection="1">
      <alignment horizontal="center"/>
      <protection locked="0"/>
    </xf>
    <xf numFmtId="0" fontId="4" fillId="3" borderId="2" xfId="0" applyFont="1" applyFill="1" applyBorder="1" applyProtection="1">
      <protection locked="0"/>
    </xf>
    <xf numFmtId="0" fontId="4" fillId="3" borderId="3" xfId="0" applyFont="1" applyFill="1" applyBorder="1" applyProtection="1">
      <protection locked="0"/>
    </xf>
    <xf numFmtId="0" fontId="1" fillId="3" borderId="0" xfId="0" applyFont="1" applyFill="1" applyProtection="1">
      <protection locked="0"/>
    </xf>
    <xf numFmtId="0" fontId="9" fillId="3" borderId="9" xfId="0" applyFont="1" applyFill="1" applyBorder="1" applyProtection="1">
      <protection locked="0"/>
    </xf>
    <xf numFmtId="0" fontId="9" fillId="0" borderId="6" xfId="0" applyFont="1" applyBorder="1" applyProtection="1">
      <protection locked="0"/>
    </xf>
    <xf numFmtId="0" fontId="5" fillId="3" borderId="6" xfId="0" applyFont="1" applyFill="1" applyBorder="1" applyProtection="1">
      <protection locked="0"/>
    </xf>
    <xf numFmtId="0" fontId="1" fillId="0" borderId="0" xfId="0" applyFont="1" applyProtection="1">
      <protection locked="0"/>
    </xf>
    <xf numFmtId="9" fontId="1" fillId="4" borderId="12" xfId="0" applyNumberFormat="1" applyFont="1" applyFill="1" applyBorder="1" applyAlignment="1" applyProtection="1">
      <alignment horizontal="center"/>
      <protection locked="0"/>
    </xf>
    <xf numFmtId="179" fontId="1" fillId="4" borderId="12" xfId="0" applyNumberFormat="1" applyFont="1" applyFill="1" applyBorder="1" applyAlignment="1" applyProtection="1">
      <alignment horizontal="center"/>
      <protection locked="0"/>
    </xf>
    <xf numFmtId="2" fontId="10" fillId="2" borderId="0" xfId="0" applyNumberFormat="1" applyFont="1" applyFill="1" applyProtection="1">
      <protection locked="0"/>
    </xf>
    <xf numFmtId="2" fontId="4" fillId="2" borderId="0" xfId="0" applyNumberFormat="1" applyFont="1" applyFill="1" applyProtection="1">
      <protection locked="0"/>
    </xf>
    <xf numFmtId="2" fontId="1" fillId="2" borderId="0" xfId="0" applyNumberFormat="1" applyFont="1" applyFill="1" applyAlignment="1" applyProtection="1">
      <alignment horizontal="right"/>
      <protection locked="0"/>
    </xf>
    <xf numFmtId="2" fontId="0" fillId="2" borderId="0" xfId="0" applyNumberFormat="1" applyFill="1" applyProtection="1">
      <protection locked="0"/>
    </xf>
    <xf numFmtId="0" fontId="11" fillId="3" borderId="2" xfId="0" applyFont="1" applyFill="1" applyBorder="1" applyProtection="1">
      <protection locked="0"/>
    </xf>
    <xf numFmtId="0" fontId="4" fillId="3" borderId="4" xfId="0" applyFont="1" applyFill="1" applyBorder="1" applyProtection="1">
      <protection locked="0"/>
    </xf>
    <xf numFmtId="0" fontId="11" fillId="3" borderId="9" xfId="0" applyFont="1" applyFill="1" applyBorder="1" applyProtection="1">
      <protection locked="0"/>
    </xf>
    <xf numFmtId="0" fontId="10" fillId="2" borderId="1" xfId="0" applyFont="1" applyFill="1" applyBorder="1" applyProtection="1">
      <protection locked="0"/>
    </xf>
    <xf numFmtId="0" fontId="14" fillId="2" borderId="1" xfId="0" applyFont="1" applyFill="1" applyBorder="1" applyProtection="1">
      <protection locked="0"/>
    </xf>
    <xf numFmtId="0" fontId="0" fillId="0" borderId="1" xfId="0" applyBorder="1" applyProtection="1">
      <protection locked="0"/>
    </xf>
    <xf numFmtId="2" fontId="4" fillId="3" borderId="7" xfId="0" applyNumberFormat="1" applyFont="1" applyFill="1" applyBorder="1" applyProtection="1">
      <protection locked="0"/>
    </xf>
    <xf numFmtId="2" fontId="1" fillId="3" borderId="6" xfId="0" applyNumberFormat="1" applyFont="1" applyFill="1" applyBorder="1" applyProtection="1">
      <protection locked="0"/>
    </xf>
    <xf numFmtId="2" fontId="0" fillId="3" borderId="7" xfId="0" applyNumberFormat="1" applyFill="1" applyBorder="1" applyProtection="1">
      <protection locked="0"/>
    </xf>
    <xf numFmtId="2" fontId="4" fillId="3" borderId="6" xfId="0" applyNumberFormat="1" applyFont="1" applyFill="1" applyBorder="1" applyProtection="1">
      <protection locked="0"/>
    </xf>
    <xf numFmtId="2" fontId="4" fillId="3" borderId="1" xfId="0" applyNumberFormat="1" applyFont="1" applyFill="1" applyBorder="1" applyProtection="1">
      <protection locked="0"/>
    </xf>
    <xf numFmtId="2" fontId="1" fillId="3" borderId="1" xfId="0" applyNumberFormat="1" applyFont="1" applyFill="1" applyBorder="1" applyAlignment="1" applyProtection="1">
      <alignment horizontal="right"/>
      <protection locked="0"/>
    </xf>
    <xf numFmtId="2" fontId="0" fillId="3" borderId="1" xfId="0" applyNumberFormat="1" applyFill="1" applyBorder="1" applyProtection="1">
      <protection locked="0"/>
    </xf>
    <xf numFmtId="2" fontId="0" fillId="3" borderId="0" xfId="0" applyNumberFormat="1" applyFill="1" applyProtection="1">
      <protection locked="0"/>
    </xf>
    <xf numFmtId="0" fontId="0" fillId="3" borderId="1" xfId="0" applyFill="1" applyBorder="1" applyProtection="1">
      <protection locked="0"/>
    </xf>
    <xf numFmtId="0" fontId="0" fillId="3" borderId="5" xfId="0" applyFill="1" applyBorder="1" applyProtection="1">
      <protection locked="0"/>
    </xf>
    <xf numFmtId="0" fontId="0" fillId="2" borderId="1" xfId="0" applyFill="1" applyBorder="1" applyProtection="1">
      <protection locked="0"/>
    </xf>
    <xf numFmtId="0" fontId="1" fillId="2" borderId="1" xfId="0" applyFont="1" applyFill="1" applyBorder="1" applyAlignment="1" applyProtection="1">
      <alignment horizontal="right"/>
      <protection locked="0"/>
    </xf>
    <xf numFmtId="0" fontId="0" fillId="3" borderId="6" xfId="0" applyFill="1" applyBorder="1" applyProtection="1">
      <protection locked="0"/>
    </xf>
    <xf numFmtId="0" fontId="0" fillId="3" borderId="0" xfId="0" applyFill="1" applyProtection="1">
      <protection locked="0"/>
    </xf>
    <xf numFmtId="0" fontId="1" fillId="3" borderId="7" xfId="0" applyFont="1" applyFill="1" applyBorder="1" applyProtection="1">
      <protection locked="0"/>
    </xf>
    <xf numFmtId="0" fontId="10" fillId="3" borderId="1" xfId="0" applyFont="1" applyFill="1" applyBorder="1" applyProtection="1">
      <protection locked="0"/>
    </xf>
    <xf numFmtId="0" fontId="1" fillId="3" borderId="1" xfId="0" applyFont="1" applyFill="1" applyBorder="1" applyProtection="1">
      <protection locked="0"/>
    </xf>
    <xf numFmtId="0" fontId="10" fillId="0" borderId="0" xfId="0" applyFont="1" applyProtection="1">
      <protection locked="0"/>
    </xf>
    <xf numFmtId="187" fontId="1" fillId="0" borderId="3" xfId="0" applyNumberFormat="1" applyFont="1" applyBorder="1" applyAlignment="1" applyProtection="1">
      <alignment horizontal="center" shrinkToFit="1"/>
      <protection locked="0"/>
    </xf>
    <xf numFmtId="0" fontId="10" fillId="0" borderId="1" xfId="0" applyFont="1" applyBorder="1" applyProtection="1">
      <protection locked="0"/>
    </xf>
    <xf numFmtId="187" fontId="1" fillId="0" borderId="1" xfId="0" applyNumberFormat="1" applyFont="1" applyBorder="1" applyAlignment="1" applyProtection="1">
      <alignment horizontal="center" shrinkToFit="1"/>
      <protection locked="0"/>
    </xf>
    <xf numFmtId="0" fontId="10" fillId="3" borderId="2" xfId="0" applyFont="1" applyFill="1" applyBorder="1" applyProtection="1">
      <protection locked="0"/>
    </xf>
    <xf numFmtId="0" fontId="1" fillId="3" borderId="4" xfId="0" applyFont="1" applyFill="1" applyBorder="1" applyProtection="1">
      <protection locked="0"/>
    </xf>
    <xf numFmtId="176" fontId="1" fillId="0" borderId="0" xfId="0" applyNumberFormat="1" applyFont="1" applyProtection="1">
      <protection locked="0"/>
    </xf>
    <xf numFmtId="0" fontId="0" fillId="3" borderId="9" xfId="0" applyFill="1" applyBorder="1" applyProtection="1">
      <protection locked="0"/>
    </xf>
    <xf numFmtId="0" fontId="1" fillId="3" borderId="5" xfId="0" applyFont="1" applyFill="1" applyBorder="1" applyProtection="1">
      <protection locked="0"/>
    </xf>
    <xf numFmtId="0" fontId="10" fillId="3" borderId="6" xfId="0" applyFont="1" applyFill="1" applyBorder="1" applyProtection="1">
      <protection locked="0"/>
    </xf>
    <xf numFmtId="0" fontId="0" fillId="3" borderId="2" xfId="0" applyFill="1" applyBorder="1" applyProtection="1">
      <protection locked="0"/>
    </xf>
    <xf numFmtId="0" fontId="1" fillId="3" borderId="3" xfId="0" applyFont="1" applyFill="1" applyBorder="1" applyProtection="1">
      <protection locked="0"/>
    </xf>
    <xf numFmtId="0" fontId="0" fillId="3" borderId="0" xfId="0" applyFill="1" applyAlignment="1" applyProtection="1">
      <alignment horizontal="right"/>
      <protection locked="0"/>
    </xf>
    <xf numFmtId="0" fontId="0" fillId="4" borderId="12" xfId="0" applyFill="1" applyBorder="1" applyAlignment="1" applyProtection="1">
      <alignment horizontal="center"/>
      <protection locked="0"/>
    </xf>
    <xf numFmtId="0" fontId="0" fillId="3" borderId="1" xfId="0" applyFill="1" applyBorder="1" applyAlignment="1" applyProtection="1">
      <alignment horizontal="right"/>
      <protection locked="0"/>
    </xf>
    <xf numFmtId="0" fontId="8" fillId="0" borderId="0" xfId="0" applyFont="1" applyProtection="1">
      <protection locked="0"/>
    </xf>
    <xf numFmtId="0" fontId="18" fillId="0" borderId="0" xfId="0" applyFont="1" applyProtection="1">
      <protection locked="0"/>
    </xf>
    <xf numFmtId="0" fontId="12" fillId="0" borderId="0" xfId="0" applyFont="1" applyAlignment="1" applyProtection="1">
      <alignment horizontal="right"/>
      <protection locked="0"/>
    </xf>
    <xf numFmtId="0" fontId="0" fillId="0" borderId="0" xfId="0" applyAlignment="1" applyProtection="1">
      <alignment horizontal="center"/>
      <protection locked="0"/>
    </xf>
    <xf numFmtId="0" fontId="1" fillId="0" borderId="0" xfId="0" applyFont="1" applyAlignment="1" applyProtection="1">
      <alignment horizontal="center"/>
      <protection locked="0"/>
    </xf>
    <xf numFmtId="0" fontId="8" fillId="0" borderId="13" xfId="0" applyFont="1" applyBorder="1" applyAlignment="1">
      <alignment horizontal="center"/>
    </xf>
    <xf numFmtId="0" fontId="8" fillId="0" borderId="14" xfId="0" applyFont="1" applyBorder="1"/>
    <xf numFmtId="0" fontId="8" fillId="0" borderId="14" xfId="0" applyFont="1" applyBorder="1" applyAlignment="1">
      <alignment horizontal="center"/>
    </xf>
    <xf numFmtId="186" fontId="1" fillId="4" borderId="12" xfId="0" applyNumberFormat="1" applyFont="1" applyFill="1" applyBorder="1" applyAlignment="1" applyProtection="1">
      <alignment horizontal="center" shrinkToFit="1"/>
      <protection locked="0"/>
    </xf>
    <xf numFmtId="0" fontId="17" fillId="0" borderId="0" xfId="0" applyFont="1"/>
    <xf numFmtId="0" fontId="1" fillId="0" borderId="0" xfId="0" applyFont="1" applyAlignment="1">
      <alignment horizontal="center"/>
    </xf>
    <xf numFmtId="0" fontId="12" fillId="0" borderId="0" xfId="0" applyFont="1" applyProtection="1">
      <protection locked="0"/>
    </xf>
    <xf numFmtId="0" fontId="9" fillId="3" borderId="6" xfId="0" applyFont="1" applyFill="1" applyBorder="1" applyProtection="1">
      <protection locked="0"/>
    </xf>
    <xf numFmtId="0" fontId="11" fillId="3" borderId="6" xfId="0" applyFont="1" applyFill="1" applyBorder="1" applyProtection="1">
      <protection locked="0"/>
    </xf>
    <xf numFmtId="0" fontId="12" fillId="3" borderId="0" xfId="0" applyFont="1" applyFill="1" applyAlignment="1" applyProtection="1">
      <alignment horizontal="right"/>
      <protection locked="0"/>
    </xf>
    <xf numFmtId="0" fontId="0" fillId="5" borderId="2" xfId="0" applyFill="1" applyBorder="1" applyProtection="1">
      <protection locked="0"/>
    </xf>
    <xf numFmtId="0" fontId="0" fillId="5" borderId="3" xfId="0" applyFill="1" applyBorder="1" applyProtection="1">
      <protection locked="0"/>
    </xf>
    <xf numFmtId="0" fontId="12" fillId="5" borderId="3" xfId="0" applyFont="1" applyFill="1" applyBorder="1" applyAlignment="1" applyProtection="1">
      <alignment horizontal="right"/>
      <protection locked="0"/>
    </xf>
    <xf numFmtId="0" fontId="0" fillId="5" borderId="4" xfId="0" applyFill="1" applyBorder="1" applyProtection="1">
      <protection locked="0"/>
    </xf>
    <xf numFmtId="0" fontId="0" fillId="5" borderId="9" xfId="0" applyFill="1" applyBorder="1" applyProtection="1">
      <protection locked="0"/>
    </xf>
    <xf numFmtId="0" fontId="0" fillId="5" borderId="1" xfId="0" applyFill="1" applyBorder="1" applyProtection="1">
      <protection locked="0"/>
    </xf>
    <xf numFmtId="0" fontId="12" fillId="5" borderId="1" xfId="0" applyFont="1" applyFill="1" applyBorder="1" applyAlignment="1" applyProtection="1">
      <alignment horizontal="right"/>
      <protection locked="0"/>
    </xf>
    <xf numFmtId="0" fontId="0" fillId="5" borderId="5" xfId="0" applyFill="1" applyBorder="1" applyProtection="1">
      <protection locked="0"/>
    </xf>
    <xf numFmtId="0" fontId="22" fillId="0" borderId="0" xfId="0" applyFont="1"/>
    <xf numFmtId="0" fontId="12" fillId="5" borderId="0" xfId="0" applyFont="1" applyFill="1" applyAlignment="1" applyProtection="1">
      <alignment horizontal="right"/>
      <protection locked="0"/>
    </xf>
    <xf numFmtId="2" fontId="1" fillId="6" borderId="12" xfId="0" applyNumberFormat="1" applyFont="1" applyFill="1" applyBorder="1" applyAlignment="1" applyProtection="1">
      <alignment horizontal="center"/>
      <protection locked="0"/>
    </xf>
    <xf numFmtId="0" fontId="0" fillId="6" borderId="12" xfId="0" applyFill="1" applyBorder="1" applyAlignment="1" applyProtection="1">
      <alignment horizontal="center"/>
      <protection locked="0"/>
    </xf>
    <xf numFmtId="2" fontId="0" fillId="0" borderId="0" xfId="0" applyNumberFormat="1" applyProtection="1">
      <protection locked="0"/>
    </xf>
    <xf numFmtId="2" fontId="0" fillId="0" borderId="0" xfId="0" applyNumberFormat="1" applyAlignment="1" applyProtection="1">
      <alignment horizontal="center"/>
      <protection locked="0"/>
    </xf>
    <xf numFmtId="2" fontId="1" fillId="0" borderId="0" xfId="0" applyNumberFormat="1" applyFont="1" applyAlignment="1" applyProtection="1">
      <alignment horizontal="center"/>
      <protection locked="0"/>
    </xf>
    <xf numFmtId="177" fontId="1" fillId="0" borderId="0" xfId="0" applyNumberFormat="1" applyFont="1" applyAlignment="1" applyProtection="1">
      <alignment horizontal="center"/>
      <protection locked="0"/>
    </xf>
    <xf numFmtId="0" fontId="25" fillId="0" borderId="0" xfId="0" applyFont="1"/>
    <xf numFmtId="179" fontId="0" fillId="0" borderId="0" xfId="0" applyNumberFormat="1"/>
    <xf numFmtId="1" fontId="12" fillId="0" borderId="0" xfId="1" applyNumberFormat="1" applyAlignment="1">
      <alignment horizontal="center"/>
    </xf>
    <xf numFmtId="0" fontId="12" fillId="0" borderId="0" xfId="1" applyAlignment="1">
      <alignment horizontal="right"/>
    </xf>
    <xf numFmtId="0" fontId="23" fillId="0" borderId="0" xfId="0" applyFont="1" applyAlignment="1">
      <alignment horizontal="center"/>
    </xf>
    <xf numFmtId="176" fontId="0" fillId="0" borderId="0" xfId="0" applyNumberFormat="1"/>
    <xf numFmtId="178" fontId="0" fillId="0" borderId="0" xfId="0" applyNumberFormat="1"/>
    <xf numFmtId="0" fontId="1" fillId="4" borderId="15" xfId="0" applyFont="1" applyFill="1" applyBorder="1" applyAlignment="1" applyProtection="1">
      <alignment horizontal="center"/>
      <protection locked="0"/>
    </xf>
    <xf numFmtId="0" fontId="19" fillId="3" borderId="9" xfId="0" applyFont="1" applyFill="1" applyBorder="1"/>
    <xf numFmtId="0" fontId="19" fillId="3" borderId="6" xfId="0" applyFont="1" applyFill="1" applyBorder="1"/>
    <xf numFmtId="0" fontId="4" fillId="0" borderId="0" xfId="0" applyFont="1"/>
    <xf numFmtId="0" fontId="8" fillId="0" borderId="16" xfId="0" applyFont="1" applyBorder="1" applyAlignment="1">
      <alignment horizontal="center"/>
    </xf>
    <xf numFmtId="0" fontId="1" fillId="0" borderId="0" xfId="0" applyFont="1"/>
    <xf numFmtId="178" fontId="1" fillId="0" borderId="0" xfId="0" applyNumberFormat="1" applyFont="1"/>
    <xf numFmtId="176" fontId="1" fillId="0" borderId="0" xfId="0" applyNumberFormat="1" applyFont="1"/>
    <xf numFmtId="0" fontId="1" fillId="0" borderId="8" xfId="0" applyFont="1" applyBorder="1" applyAlignment="1" applyProtection="1">
      <alignment horizontal="center"/>
      <protection hidden="1"/>
    </xf>
    <xf numFmtId="0" fontId="1" fillId="0" borderId="5" xfId="0" applyFont="1" applyBorder="1" applyAlignment="1" applyProtection="1">
      <alignment horizontal="center"/>
      <protection hidden="1"/>
    </xf>
    <xf numFmtId="0" fontId="8" fillId="0" borderId="12" xfId="0" applyFont="1" applyBorder="1" applyAlignment="1" applyProtection="1">
      <alignment horizontal="center"/>
      <protection hidden="1"/>
    </xf>
    <xf numFmtId="1" fontId="1" fillId="2" borderId="12" xfId="0" applyNumberFormat="1" applyFont="1" applyFill="1" applyBorder="1" applyAlignment="1" applyProtection="1">
      <alignment horizontal="center"/>
      <protection hidden="1"/>
    </xf>
    <xf numFmtId="2" fontId="1" fillId="0" borderId="8" xfId="0" applyNumberFormat="1" applyFont="1" applyBorder="1" applyAlignment="1" applyProtection="1">
      <alignment horizontal="center"/>
      <protection hidden="1"/>
    </xf>
    <xf numFmtId="2" fontId="0" fillId="0" borderId="12" xfId="0" applyNumberFormat="1" applyBorder="1" applyAlignment="1" applyProtection="1">
      <alignment horizontal="center"/>
      <protection hidden="1"/>
    </xf>
    <xf numFmtId="2" fontId="1" fillId="0" borderId="12" xfId="0" applyNumberFormat="1" applyFont="1" applyBorder="1" applyAlignment="1" applyProtection="1">
      <alignment horizontal="center"/>
      <protection hidden="1"/>
    </xf>
    <xf numFmtId="1" fontId="1" fillId="0" borderId="8" xfId="0" applyNumberFormat="1" applyFont="1" applyBorder="1" applyAlignment="1" applyProtection="1">
      <alignment horizontal="center"/>
      <protection hidden="1"/>
    </xf>
    <xf numFmtId="2" fontId="12" fillId="0" borderId="12" xfId="0" applyNumberFormat="1" applyFont="1" applyBorder="1" applyAlignment="1" applyProtection="1">
      <alignment horizontal="center"/>
      <protection hidden="1"/>
    </xf>
    <xf numFmtId="9" fontId="1" fillId="0" borderId="12" xfId="2" applyFont="1" applyFill="1" applyBorder="1" applyAlignment="1" applyProtection="1">
      <alignment horizontal="center"/>
      <protection hidden="1"/>
    </xf>
    <xf numFmtId="179" fontId="1" fillId="0" borderId="15" xfId="0" applyNumberFormat="1" applyFont="1" applyBorder="1" applyAlignment="1" applyProtection="1">
      <alignment horizontal="center"/>
      <protection hidden="1"/>
    </xf>
    <xf numFmtId="2" fontId="1" fillId="2" borderId="12" xfId="0" applyNumberFormat="1" applyFont="1" applyFill="1" applyBorder="1" applyAlignment="1" applyProtection="1">
      <alignment horizontal="center"/>
      <protection hidden="1"/>
    </xf>
    <xf numFmtId="187" fontId="1" fillId="0" borderId="12" xfId="0" applyNumberFormat="1" applyFont="1" applyBorder="1" applyAlignment="1" applyProtection="1">
      <alignment horizontal="center" shrinkToFit="1"/>
      <protection hidden="1"/>
    </xf>
    <xf numFmtId="0" fontId="1" fillId="0" borderId="15" xfId="0" applyFont="1" applyBorder="1" applyAlignment="1" applyProtection="1">
      <alignment horizontal="center"/>
      <protection hidden="1"/>
    </xf>
    <xf numFmtId="176" fontId="1" fillId="0" borderId="12" xfId="0" applyNumberFormat="1" applyFont="1" applyBorder="1" applyAlignment="1" applyProtection="1">
      <alignment horizontal="center"/>
      <protection hidden="1"/>
    </xf>
    <xf numFmtId="186" fontId="1" fillId="0" borderId="12" xfId="0" applyNumberFormat="1" applyFont="1" applyBorder="1" applyAlignment="1" applyProtection="1">
      <alignment horizontal="center" shrinkToFit="1"/>
      <protection hidden="1"/>
    </xf>
    <xf numFmtId="186" fontId="1" fillId="0" borderId="17" xfId="0" applyNumberFormat="1" applyFont="1" applyBorder="1" applyAlignment="1" applyProtection="1">
      <alignment horizontal="center" shrinkToFit="1"/>
      <protection hidden="1"/>
    </xf>
    <xf numFmtId="183" fontId="1" fillId="0" borderId="17" xfId="0" applyNumberFormat="1" applyFont="1" applyBorder="1" applyAlignment="1" applyProtection="1">
      <alignment horizontal="center" shrinkToFit="1"/>
      <protection hidden="1"/>
    </xf>
    <xf numFmtId="179" fontId="1" fillId="0" borderId="12" xfId="0" applyNumberFormat="1" applyFont="1" applyBorder="1" applyAlignment="1" applyProtection="1">
      <alignment horizontal="center"/>
      <protection hidden="1"/>
    </xf>
    <xf numFmtId="0" fontId="0" fillId="0" borderId="12" xfId="0" applyBorder="1" applyAlignment="1" applyProtection="1">
      <alignment horizontal="center"/>
      <protection hidden="1"/>
    </xf>
    <xf numFmtId="0" fontId="1" fillId="0" borderId="18" xfId="0" applyFont="1" applyBorder="1" applyAlignment="1" applyProtection="1">
      <alignment horizontal="center"/>
      <protection hidden="1"/>
    </xf>
    <xf numFmtId="0" fontId="1" fillId="0" borderId="12" xfId="0" applyFont="1" applyBorder="1" applyProtection="1">
      <protection hidden="1"/>
    </xf>
    <xf numFmtId="196" fontId="1" fillId="0" borderId="12" xfId="0" applyNumberFormat="1" applyFont="1" applyBorder="1" applyAlignment="1" applyProtection="1">
      <alignment horizontal="center"/>
      <protection hidden="1"/>
    </xf>
    <xf numFmtId="182" fontId="1" fillId="0" borderId="19" xfId="0" applyNumberFormat="1" applyFont="1" applyBorder="1" applyAlignment="1" applyProtection="1">
      <alignment horizontal="center"/>
      <protection hidden="1"/>
    </xf>
    <xf numFmtId="198" fontId="1" fillId="0" borderId="12" xfId="0" applyNumberFormat="1" applyFont="1" applyBorder="1" applyAlignment="1" applyProtection="1">
      <alignment horizontal="center"/>
      <protection hidden="1"/>
    </xf>
    <xf numFmtId="180" fontId="1" fillId="0" borderId="19" xfId="0" applyNumberFormat="1" applyFont="1" applyBorder="1" applyAlignment="1" applyProtection="1">
      <alignment horizontal="center"/>
      <protection hidden="1"/>
    </xf>
    <xf numFmtId="189" fontId="1" fillId="0" borderId="12" xfId="0" applyNumberFormat="1" applyFont="1" applyBorder="1" applyAlignment="1" applyProtection="1">
      <alignment horizontal="center"/>
      <protection hidden="1"/>
    </xf>
    <xf numFmtId="197" fontId="1" fillId="0" borderId="12" xfId="0" applyNumberFormat="1" applyFont="1" applyBorder="1" applyAlignment="1" applyProtection="1">
      <alignment horizontal="center"/>
      <protection hidden="1"/>
    </xf>
    <xf numFmtId="190" fontId="1" fillId="0" borderId="12" xfId="0" applyNumberFormat="1" applyFont="1" applyBorder="1" applyAlignment="1" applyProtection="1">
      <alignment horizontal="center"/>
      <protection hidden="1"/>
    </xf>
    <xf numFmtId="191" fontId="1" fillId="0" borderId="12" xfId="0" applyNumberFormat="1" applyFont="1" applyBorder="1" applyAlignment="1" applyProtection="1">
      <alignment horizontal="center"/>
      <protection hidden="1"/>
    </xf>
    <xf numFmtId="188" fontId="1" fillId="0" borderId="12" xfId="0" applyNumberFormat="1" applyFont="1" applyBorder="1" applyAlignment="1" applyProtection="1">
      <alignment horizontal="center"/>
      <protection hidden="1"/>
    </xf>
    <xf numFmtId="192" fontId="1" fillId="0" borderId="12" xfId="0" applyNumberFormat="1" applyFont="1" applyBorder="1" applyAlignment="1" applyProtection="1">
      <alignment horizontal="center"/>
      <protection hidden="1"/>
    </xf>
    <xf numFmtId="0" fontId="1" fillId="0" borderId="19" xfId="0" applyFont="1" applyBorder="1" applyAlignment="1" applyProtection="1">
      <alignment horizontal="center"/>
      <protection hidden="1"/>
    </xf>
    <xf numFmtId="194" fontId="1" fillId="0" borderId="12" xfId="0" applyNumberFormat="1" applyFont="1" applyBorder="1" applyAlignment="1" applyProtection="1">
      <alignment horizontal="center"/>
      <protection hidden="1"/>
    </xf>
    <xf numFmtId="195" fontId="1" fillId="0" borderId="12" xfId="0" applyNumberFormat="1" applyFont="1" applyBorder="1" applyAlignment="1" applyProtection="1">
      <alignment horizontal="center"/>
      <protection hidden="1"/>
    </xf>
    <xf numFmtId="181" fontId="1" fillId="0" borderId="19" xfId="0" applyNumberFormat="1" applyFont="1" applyBorder="1" applyAlignment="1" applyProtection="1">
      <alignment horizontal="center"/>
      <protection hidden="1"/>
    </xf>
    <xf numFmtId="193" fontId="1" fillId="0" borderId="12" xfId="0" applyNumberFormat="1" applyFont="1" applyBorder="1" applyAlignment="1" applyProtection="1">
      <alignment horizontal="center"/>
      <protection hidden="1"/>
    </xf>
    <xf numFmtId="0" fontId="1" fillId="0" borderId="20" xfId="0" applyFont="1" applyBorder="1" applyAlignment="1" applyProtection="1">
      <alignment horizontal="center"/>
      <protection hidden="1"/>
    </xf>
    <xf numFmtId="0" fontId="1" fillId="0" borderId="21" xfId="0" applyFont="1" applyBorder="1" applyProtection="1">
      <protection hidden="1"/>
    </xf>
    <xf numFmtId="194" fontId="1" fillId="0" borderId="21" xfId="0" applyNumberFormat="1" applyFont="1" applyBorder="1" applyAlignment="1" applyProtection="1">
      <alignment horizontal="center"/>
      <protection hidden="1"/>
    </xf>
    <xf numFmtId="0" fontId="1" fillId="0" borderId="22" xfId="0" applyFont="1" applyBorder="1" applyAlignment="1" applyProtection="1">
      <alignment horizontal="center"/>
      <protection hidden="1"/>
    </xf>
    <xf numFmtId="0" fontId="8" fillId="0" borderId="0" xfId="0" applyFont="1" applyAlignment="1" applyProtection="1">
      <alignment horizontal="center" wrapText="1"/>
      <protection hidden="1"/>
    </xf>
    <xf numFmtId="0" fontId="0" fillId="0" borderId="0" xfId="0" applyProtection="1">
      <protection hidden="1"/>
    </xf>
    <xf numFmtId="11" fontId="0" fillId="0" borderId="0" xfId="0" applyNumberFormat="1" applyAlignment="1" applyProtection="1">
      <alignment horizontal="center"/>
      <protection hidden="1"/>
    </xf>
    <xf numFmtId="178" fontId="0" fillId="0" borderId="0" xfId="0" applyNumberFormat="1" applyAlignment="1" applyProtection="1">
      <alignment horizontal="center"/>
      <protection hidden="1"/>
    </xf>
    <xf numFmtId="2" fontId="0" fillId="0" borderId="0" xfId="0" applyNumberFormat="1" applyAlignment="1" applyProtection="1">
      <alignment horizontal="center"/>
      <protection hidden="1"/>
    </xf>
    <xf numFmtId="179" fontId="0" fillId="0" borderId="0" xfId="0" applyNumberFormat="1" applyProtection="1">
      <protection hidden="1"/>
    </xf>
    <xf numFmtId="1" fontId="0" fillId="0" borderId="0" xfId="0" applyNumberFormat="1" applyAlignment="1" applyProtection="1">
      <alignment horizontal="center"/>
      <protection hidden="1"/>
    </xf>
    <xf numFmtId="184" fontId="8" fillId="0" borderId="0" xfId="0" applyNumberFormat="1" applyFont="1" applyAlignment="1" applyProtection="1">
      <alignment horizontal="center"/>
      <protection hidden="1"/>
    </xf>
    <xf numFmtId="11" fontId="0" fillId="0" borderId="0" xfId="0" applyNumberFormat="1" applyProtection="1">
      <protection hidden="1"/>
    </xf>
    <xf numFmtId="0" fontId="8" fillId="0" borderId="0" xfId="0" applyFont="1" applyAlignment="1" applyProtection="1">
      <alignment horizontal="center"/>
      <protection hidden="1"/>
    </xf>
    <xf numFmtId="0" fontId="23" fillId="0" borderId="0" xfId="0" applyFont="1" applyAlignment="1" applyProtection="1">
      <alignment horizontal="center"/>
      <protection hidden="1"/>
    </xf>
    <xf numFmtId="11" fontId="23" fillId="0" borderId="0" xfId="0" applyNumberFormat="1" applyFont="1" applyAlignment="1" applyProtection="1">
      <alignment horizontal="center"/>
      <protection hidden="1"/>
    </xf>
    <xf numFmtId="184" fontId="12" fillId="0" borderId="0" xfId="0" applyNumberFormat="1" applyFont="1" applyAlignment="1" applyProtection="1">
      <alignment horizontal="center"/>
      <protection hidden="1"/>
    </xf>
    <xf numFmtId="0" fontId="1" fillId="0" borderId="0" xfId="0" applyFont="1" applyAlignment="1" applyProtection="1">
      <alignment horizontal="center"/>
      <protection hidden="1"/>
    </xf>
    <xf numFmtId="184" fontId="0" fillId="0" borderId="0" xfId="0" applyNumberFormat="1" applyAlignment="1" applyProtection="1">
      <alignment horizontal="center"/>
      <protection hidden="1"/>
    </xf>
    <xf numFmtId="179" fontId="0" fillId="0" borderId="0" xfId="0" applyNumberFormat="1" applyAlignment="1" applyProtection="1">
      <alignment horizontal="center"/>
      <protection hidden="1"/>
    </xf>
    <xf numFmtId="0" fontId="0" fillId="0" borderId="0" xfId="0" applyAlignment="1" applyProtection="1">
      <alignment horizontal="center"/>
      <protection hidden="1"/>
    </xf>
    <xf numFmtId="1" fontId="23" fillId="0" borderId="0" xfId="0" applyNumberFormat="1" applyFont="1" applyAlignment="1" applyProtection="1">
      <alignment horizontal="center"/>
      <protection hidden="1"/>
    </xf>
    <xf numFmtId="184" fontId="12" fillId="0" borderId="0" xfId="0" applyNumberFormat="1" applyFont="1" applyProtection="1">
      <protection hidden="1"/>
    </xf>
    <xf numFmtId="184" fontId="8" fillId="0" borderId="0" xfId="0" applyNumberFormat="1" applyFont="1" applyProtection="1">
      <protection hidden="1"/>
    </xf>
    <xf numFmtId="184" fontId="1" fillId="0" borderId="0" xfId="0" applyNumberFormat="1" applyFont="1" applyAlignment="1" applyProtection="1">
      <alignment horizontal="center"/>
      <protection hidden="1"/>
    </xf>
    <xf numFmtId="11" fontId="1" fillId="0" borderId="0" xfId="0" applyNumberFormat="1" applyFont="1" applyAlignment="1" applyProtection="1">
      <alignment horizontal="center"/>
      <protection hidden="1"/>
    </xf>
    <xf numFmtId="178" fontId="0" fillId="0" borderId="0" xfId="0" applyNumberFormat="1" applyProtection="1">
      <protection hidden="1"/>
    </xf>
    <xf numFmtId="185" fontId="0" fillId="0" borderId="0" xfId="0" applyNumberFormat="1" applyProtection="1">
      <protection hidden="1"/>
    </xf>
    <xf numFmtId="179" fontId="1" fillId="0" borderId="0" xfId="0" applyNumberFormat="1" applyFont="1" applyProtection="1">
      <protection hidden="1"/>
    </xf>
    <xf numFmtId="176" fontId="0" fillId="0" borderId="0" xfId="0" applyNumberFormat="1" applyProtection="1">
      <protection hidden="1"/>
    </xf>
    <xf numFmtId="1" fontId="1" fillId="6" borderId="8" xfId="0" applyNumberFormat="1" applyFont="1" applyFill="1" applyBorder="1" applyAlignment="1" applyProtection="1">
      <alignment horizontal="center"/>
      <protection locked="0"/>
    </xf>
    <xf numFmtId="186" fontId="1" fillId="6" borderId="12" xfId="0" applyNumberFormat="1" applyFont="1" applyFill="1" applyBorder="1" applyAlignment="1" applyProtection="1">
      <alignment horizontal="center" shrinkToFit="1"/>
      <protection locked="0"/>
    </xf>
    <xf numFmtId="183" fontId="1" fillId="6" borderId="12" xfId="0" applyNumberFormat="1" applyFont="1" applyFill="1" applyBorder="1" applyAlignment="1" applyProtection="1">
      <alignment horizontal="center" shrinkToFit="1"/>
      <protection locked="0"/>
    </xf>
  </cellXfs>
  <cellStyles count="3">
    <cellStyle name="Normal 2" xfId="1" xr:uid="{00000000-0005-0000-0000-000001000000}"/>
    <cellStyle name="百分比" xfId="2" builtinId="5"/>
    <cellStyle name="常规" xfId="0" builtinId="0"/>
  </cellStyles>
  <dxfs count="1">
    <dxf>
      <font>
        <b/>
        <i val="0"/>
        <strike/>
        <condense val="0"/>
        <extend val="0"/>
        <color indexed="10"/>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DDDDDD"/>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Operational Modes vs VIN</a:t>
            </a:r>
          </a:p>
        </c:rich>
      </c:tx>
      <c:layout>
        <c:manualLayout>
          <c:xMode val="edge"/>
          <c:yMode val="edge"/>
          <c:x val="0.20308477690288715"/>
          <c:y val="3.3613424871477844E-2"/>
        </c:manualLayout>
      </c:layout>
      <c:overlay val="0"/>
      <c:spPr>
        <a:noFill/>
        <a:ln w="25400">
          <a:noFill/>
        </a:ln>
      </c:spPr>
    </c:title>
    <c:autoTitleDeleted val="0"/>
    <c:plotArea>
      <c:layout>
        <c:manualLayout>
          <c:layoutTarget val="inner"/>
          <c:xMode val="edge"/>
          <c:yMode val="edge"/>
          <c:x val="0.14910025706940874"/>
          <c:y val="0.14845978986068217"/>
          <c:w val="0.61696658097686374"/>
          <c:h val="0.78431587096209454"/>
        </c:manualLayout>
      </c:layout>
      <c:barChart>
        <c:barDir val="col"/>
        <c:grouping val="stacked"/>
        <c:varyColors val="0"/>
        <c:ser>
          <c:idx val="0"/>
          <c:order val="0"/>
          <c:tx>
            <c:v>Buck-boost</c:v>
          </c:tx>
          <c:spPr>
            <a:solidFill>
              <a:srgbClr val="9999FF"/>
            </a:solidFill>
            <a:ln w="12700">
              <a:solidFill>
                <a:srgbClr val="000000"/>
              </a:solidFill>
              <a:prstDash val="solid"/>
            </a:ln>
          </c:spPr>
          <c:invertIfNegative val="0"/>
          <c:val>
            <c:numRef>
              <c:f>Graph!$H$8</c:f>
              <c:numCache>
                <c:formatCode>General</c:formatCode>
                <c:ptCount val="1"/>
                <c:pt idx="0">
                  <c:v>13.799999999999999</c:v>
                </c:pt>
              </c:numCache>
            </c:numRef>
          </c:val>
          <c:extLst>
            <c:ext xmlns:c16="http://schemas.microsoft.com/office/drawing/2014/chart" uri="{C3380CC4-5D6E-409C-BE32-E72D297353CC}">
              <c16:uniqueId val="{00000000-779F-46E2-B3B0-E2A811253A10}"/>
            </c:ext>
          </c:extLst>
        </c:ser>
        <c:ser>
          <c:idx val="1"/>
          <c:order val="1"/>
          <c:tx>
            <c:v>Transition</c:v>
          </c:tx>
          <c:spPr>
            <a:solidFill>
              <a:srgbClr val="993366"/>
            </a:solidFill>
            <a:ln w="12700">
              <a:solidFill>
                <a:srgbClr val="000000"/>
              </a:solidFill>
              <a:prstDash val="solid"/>
            </a:ln>
          </c:spPr>
          <c:invertIfNegative val="0"/>
          <c:val>
            <c:numRef>
              <c:f>Graph!$F$10</c:f>
              <c:numCache>
                <c:formatCode>General</c:formatCode>
                <c:ptCount val="1"/>
                <c:pt idx="0">
                  <c:v>2.2000000000000011</c:v>
                </c:pt>
              </c:numCache>
            </c:numRef>
          </c:val>
          <c:extLst>
            <c:ext xmlns:c16="http://schemas.microsoft.com/office/drawing/2014/chart" uri="{C3380CC4-5D6E-409C-BE32-E72D297353CC}">
              <c16:uniqueId val="{00000001-779F-46E2-B3B0-E2A811253A10}"/>
            </c:ext>
          </c:extLst>
        </c:ser>
        <c:ser>
          <c:idx val="2"/>
          <c:order val="2"/>
          <c:tx>
            <c:v>Buck</c:v>
          </c:tx>
          <c:spPr>
            <a:solidFill>
              <a:srgbClr val="FFFF00"/>
            </a:solidFill>
            <a:ln w="12700">
              <a:solidFill>
                <a:srgbClr val="000000"/>
              </a:solidFill>
              <a:prstDash val="solid"/>
            </a:ln>
          </c:spPr>
          <c:invertIfNegative val="0"/>
          <c:val>
            <c:numRef>
              <c:f>Graph!$H$13</c:f>
              <c:numCache>
                <c:formatCode>General</c:formatCode>
                <c:ptCount val="1"/>
                <c:pt idx="0">
                  <c:v>29</c:v>
                </c:pt>
              </c:numCache>
            </c:numRef>
          </c:val>
          <c:extLst>
            <c:ext xmlns:c16="http://schemas.microsoft.com/office/drawing/2014/chart" uri="{C3380CC4-5D6E-409C-BE32-E72D297353CC}">
              <c16:uniqueId val="{00000002-779F-46E2-B3B0-E2A811253A10}"/>
            </c:ext>
          </c:extLst>
        </c:ser>
        <c:dLbls>
          <c:showLegendKey val="0"/>
          <c:showVal val="0"/>
          <c:showCatName val="0"/>
          <c:showSerName val="0"/>
          <c:showPercent val="0"/>
          <c:showBubbleSize val="0"/>
        </c:dLbls>
        <c:gapWidth val="150"/>
        <c:overlap val="100"/>
        <c:axId val="77189120"/>
        <c:axId val="77190656"/>
      </c:barChart>
      <c:catAx>
        <c:axId val="77189120"/>
        <c:scaling>
          <c:orientation val="minMax"/>
        </c:scaling>
        <c:delete val="1"/>
        <c:axPos val="b"/>
        <c:majorTickMark val="out"/>
        <c:minorTickMark val="none"/>
        <c:tickLblPos val="none"/>
        <c:crossAx val="77190656"/>
        <c:crosses val="autoZero"/>
        <c:auto val="1"/>
        <c:lblAlgn val="ctr"/>
        <c:lblOffset val="100"/>
        <c:noMultiLvlLbl val="0"/>
      </c:catAx>
      <c:valAx>
        <c:axId val="77190656"/>
        <c:scaling>
          <c:orientation val="minMax"/>
          <c:min val="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VIN (Volts)</a:t>
                </a:r>
              </a:p>
            </c:rich>
          </c:tx>
          <c:layout>
            <c:manualLayout>
              <c:xMode val="edge"/>
              <c:yMode val="edge"/>
              <c:x val="3.8560367454068246E-2"/>
              <c:y val="0.453782727055812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189120"/>
        <c:crosses val="autoZero"/>
        <c:crossBetween val="between"/>
      </c:valAx>
      <c:spPr>
        <a:solidFill>
          <a:srgbClr val="DDDDDD"/>
        </a:solidFill>
        <a:ln w="12700">
          <a:solidFill>
            <a:srgbClr val="808080"/>
          </a:solidFill>
          <a:prstDash val="solid"/>
        </a:ln>
      </c:spPr>
    </c:plotArea>
    <c:legend>
      <c:legendPos val="r"/>
      <c:layout>
        <c:manualLayout>
          <c:xMode val="edge"/>
          <c:yMode val="edge"/>
          <c:x val="0.77892030848329052"/>
          <c:y val="0.37165775401069517"/>
          <c:w val="0.18766066838046272"/>
          <c:h val="0.1631016042780748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35365851663675"/>
          <c:y val="0.18481896088290167"/>
          <c:w val="0.72026918490431469"/>
          <c:h val="0.58391550453783636"/>
        </c:manualLayout>
      </c:layout>
      <c:scatterChart>
        <c:scatterStyle val="smoothMarker"/>
        <c:varyColors val="0"/>
        <c:ser>
          <c:idx val="0"/>
          <c:order val="0"/>
          <c:tx>
            <c:v>Gain</c:v>
          </c:tx>
          <c:spPr>
            <a:ln w="25400">
              <a:solidFill>
                <a:srgbClr val="000080"/>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Plots'!$H$3:$H$24</c:f>
              <c:numCache>
                <c:formatCode>0.00</c:formatCode>
                <c:ptCount val="22"/>
                <c:pt idx="0">
                  <c:v>84.407314233026568</c:v>
                </c:pt>
                <c:pt idx="1">
                  <c:v>78.386717132459822</c:v>
                </c:pt>
                <c:pt idx="2">
                  <c:v>70.427936647939816</c:v>
                </c:pt>
                <c:pt idx="3">
                  <c:v>64.407407051231317</c:v>
                </c:pt>
                <c:pt idx="4">
                  <c:v>58.387088388568742</c:v>
                </c:pt>
                <c:pt idx="5">
                  <c:v>50.430256267846744</c:v>
                </c:pt>
                <c:pt idx="6">
                  <c:v>44.416675108709072</c:v>
                </c:pt>
                <c:pt idx="7">
                  <c:v>38.423994947692577</c:v>
                </c:pt>
                <c:pt idx="8">
                  <c:v>30.653963800807205</c:v>
                </c:pt>
                <c:pt idx="9">
                  <c:v>25.226030690131775</c:v>
                </c:pt>
                <c:pt idx="10">
                  <c:v>20.799149986564689</c:v>
                </c:pt>
                <c:pt idx="11">
                  <c:v>16.076791343280735</c:v>
                </c:pt>
                <c:pt idx="12">
                  <c:v>11.570178438420731</c:v>
                </c:pt>
                <c:pt idx="13">
                  <c:v>5.9334605168023469</c:v>
                </c:pt>
                <c:pt idx="14">
                  <c:v>-2.8839270316594607</c:v>
                </c:pt>
                <c:pt idx="15">
                  <c:v>-10.707742444545806</c:v>
                </c:pt>
                <c:pt idx="16">
                  <c:v>-18.552599776140276</c:v>
                </c:pt>
                <c:pt idx="17">
                  <c:v>-27.462987073474885</c:v>
                </c:pt>
                <c:pt idx="18">
                  <c:v>-33.314890937042648</c:v>
                </c:pt>
                <c:pt idx="19">
                  <c:v>-38.174090295263689</c:v>
                </c:pt>
                <c:pt idx="20">
                  <c:v>-41.82496140458889</c:v>
                </c:pt>
                <c:pt idx="21">
                  <c:v>-42.726985581756651</c:v>
                </c:pt>
              </c:numCache>
            </c:numRef>
          </c:yVal>
          <c:smooth val="1"/>
          <c:extLst>
            <c:ext xmlns:c16="http://schemas.microsoft.com/office/drawing/2014/chart" uri="{C3380CC4-5D6E-409C-BE32-E72D297353CC}">
              <c16:uniqueId val="{00000000-C319-453E-A09F-BF3E7DA39860}"/>
            </c:ext>
          </c:extLst>
        </c:ser>
        <c:dLbls>
          <c:showLegendKey val="0"/>
          <c:showVal val="0"/>
          <c:showCatName val="0"/>
          <c:showSerName val="0"/>
          <c:showPercent val="0"/>
          <c:showBubbleSize val="0"/>
        </c:dLbls>
        <c:axId val="77222272"/>
        <c:axId val="77224192"/>
      </c:scatterChart>
      <c:scatterChart>
        <c:scatterStyle val="lineMarker"/>
        <c:varyColors val="0"/>
        <c:ser>
          <c:idx val="1"/>
          <c:order val="1"/>
          <c:tx>
            <c:v>Phase</c:v>
          </c:tx>
          <c:spPr>
            <a:ln w="25400">
              <a:solidFill>
                <a:srgbClr val="FF00FF"/>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Plots'!$I$3:$I$24</c:f>
              <c:numCache>
                <c:formatCode>0</c:formatCode>
                <c:ptCount val="22"/>
                <c:pt idx="0">
                  <c:v>90.016301236445912</c:v>
                </c:pt>
                <c:pt idx="1">
                  <c:v>90.032602458940389</c:v>
                </c:pt>
                <c:pt idx="2">
                  <c:v>90.081505903201744</c:v>
                </c:pt>
                <c:pt idx="3">
                  <c:v>90.163010062507581</c:v>
                </c:pt>
                <c:pt idx="4">
                  <c:v>90.326006174697994</c:v>
                </c:pt>
                <c:pt idx="5">
                  <c:v>90.814771401382885</c:v>
                </c:pt>
                <c:pt idx="6">
                  <c:v>91.627802407726747</c:v>
                </c:pt>
                <c:pt idx="7">
                  <c:v>93.241765873678887</c:v>
                </c:pt>
                <c:pt idx="8">
                  <c:v>97.87125520025748</c:v>
                </c:pt>
                <c:pt idx="9">
                  <c:v>104.29565826134183</c:v>
                </c:pt>
                <c:pt idx="10">
                  <c:v>111.07049255111315</c:v>
                </c:pt>
                <c:pt idx="11">
                  <c:v>107.33189295252387</c:v>
                </c:pt>
                <c:pt idx="12">
                  <c:v>93.38750588910878</c:v>
                </c:pt>
                <c:pt idx="13">
                  <c:v>74.906055963714081</c:v>
                </c:pt>
                <c:pt idx="14">
                  <c:v>39.806949867191264</c:v>
                </c:pt>
                <c:pt idx="15">
                  <c:v>4.0401858907709993</c:v>
                </c:pt>
                <c:pt idx="16">
                  <c:v>-30.00254530630113</c:v>
                </c:pt>
                <c:pt idx="17">
                  <c:v>-55.710771072794913</c:v>
                </c:pt>
                <c:pt idx="18">
                  <c:v>-58.463639183245519</c:v>
                </c:pt>
                <c:pt idx="19">
                  <c:v>-49.02446233650403</c:v>
                </c:pt>
                <c:pt idx="20">
                  <c:v>-27.475972892117738</c:v>
                </c:pt>
                <c:pt idx="21">
                  <c:v>-14.836429620890712</c:v>
                </c:pt>
              </c:numCache>
            </c:numRef>
          </c:yVal>
          <c:smooth val="0"/>
          <c:extLst>
            <c:ext xmlns:c16="http://schemas.microsoft.com/office/drawing/2014/chart" uri="{C3380CC4-5D6E-409C-BE32-E72D297353CC}">
              <c16:uniqueId val="{00000001-C319-453E-A09F-BF3E7DA39860}"/>
            </c:ext>
          </c:extLst>
        </c:ser>
        <c:dLbls>
          <c:showLegendKey val="0"/>
          <c:showVal val="0"/>
          <c:showCatName val="0"/>
          <c:showSerName val="0"/>
          <c:showPercent val="0"/>
          <c:showBubbleSize val="0"/>
        </c:dLbls>
        <c:axId val="77242752"/>
        <c:axId val="77244288"/>
      </c:scatterChart>
      <c:valAx>
        <c:axId val="77222272"/>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546141885102795"/>
              <c:y val="0.85668284615108048"/>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224192"/>
        <c:crossesAt val="-60"/>
        <c:crossBetween val="midCat"/>
      </c:valAx>
      <c:valAx>
        <c:axId val="77224192"/>
        <c:scaling>
          <c:orientation val="minMax"/>
          <c:max val="100"/>
          <c:min val="-4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6901015102369846E-2"/>
              <c:y val="0.420197749253945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222272"/>
        <c:crosses val="autoZero"/>
        <c:crossBetween val="midCat"/>
      </c:valAx>
      <c:valAx>
        <c:axId val="77242752"/>
        <c:scaling>
          <c:logBase val="10"/>
          <c:orientation val="minMax"/>
        </c:scaling>
        <c:delete val="1"/>
        <c:axPos val="b"/>
        <c:numFmt formatCode="0.00E+00" sourceLinked="1"/>
        <c:majorTickMark val="out"/>
        <c:minorTickMark val="none"/>
        <c:tickLblPos val="none"/>
        <c:crossAx val="77244288"/>
        <c:crosses val="autoZero"/>
        <c:crossBetween val="midCat"/>
      </c:valAx>
      <c:valAx>
        <c:axId val="77244288"/>
        <c:scaling>
          <c:orientation val="minMax"/>
          <c:max val="150"/>
          <c:min val="-60"/>
        </c:scaling>
        <c:delete val="0"/>
        <c:axPos val="r"/>
        <c:majorGridlines/>
        <c:title>
          <c:tx>
            <c:rich>
              <a:bodyPr rot="-5400000" vert="horz"/>
              <a:lstStyle/>
              <a:p>
                <a:pPr>
                  <a:defRPr/>
                </a:pPr>
                <a:r>
                  <a:rPr lang="en-US" sz="800" b="1" i="0" baseline="0">
                    <a:solidFill>
                      <a:srgbClr val="FF33CC"/>
                    </a:solidFill>
                    <a:effectLst/>
                  </a:rPr>
                  <a:t>Phase (deg)</a:t>
                </a:r>
                <a:endParaRPr lang="en-US" sz="800">
                  <a:solidFill>
                    <a:srgbClr val="FF33CC"/>
                  </a:solidFill>
                  <a:effectLst/>
                </a:endParaRPr>
              </a:p>
            </c:rich>
          </c:tx>
          <c:overlay val="0"/>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242752"/>
        <c:crosses val="max"/>
        <c:crossBetween val="midCat"/>
        <c:majorUnit val="30"/>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35365851663675"/>
          <c:y val="0.19728888304236433"/>
          <c:w val="0.72026918490431469"/>
          <c:h val="0.57144557407651009"/>
        </c:manualLayout>
      </c:layout>
      <c:scatterChart>
        <c:scatterStyle val="smoothMarker"/>
        <c:varyColors val="0"/>
        <c:ser>
          <c:idx val="0"/>
          <c:order val="0"/>
          <c:tx>
            <c:v>Gain</c:v>
          </c:tx>
          <c:spPr>
            <a:ln w="25400">
              <a:solidFill>
                <a:srgbClr val="000080"/>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Plots'!$T$3:$T$24</c:f>
              <c:numCache>
                <c:formatCode>0.0000</c:formatCode>
                <c:ptCount val="22"/>
                <c:pt idx="0">
                  <c:v>93.949739107753018</c:v>
                </c:pt>
                <c:pt idx="1">
                  <c:v>87.929141348186207</c:v>
                </c:pt>
                <c:pt idx="2">
                  <c:v>79.970356250672765</c:v>
                </c:pt>
                <c:pt idx="3">
                  <c:v>73.949810179091585</c:v>
                </c:pt>
                <c:pt idx="4">
                  <c:v>67.929425618559904</c:v>
                </c:pt>
                <c:pt idx="5">
                  <c:v>59.972132285399645</c:v>
                </c:pt>
                <c:pt idx="6">
                  <c:v>53.956904976065687</c:v>
                </c:pt>
                <c:pt idx="7">
                  <c:v>47.95765637458733</c:v>
                </c:pt>
                <c:pt idx="8">
                  <c:v>40.142357995132095</c:v>
                </c:pt>
                <c:pt idx="9">
                  <c:v>34.562278474014427</c:v>
                </c:pt>
                <c:pt idx="10">
                  <c:v>29.644086421836445</c:v>
                </c:pt>
                <c:pt idx="11">
                  <c:v>23.496662935809017</c:v>
                </c:pt>
                <c:pt idx="12">
                  <c:v>18.077024533736914</c:v>
                </c:pt>
                <c:pt idx="13">
                  <c:v>12.014701891462746</c:v>
                </c:pt>
                <c:pt idx="14">
                  <c:v>2.6704376242001846</c:v>
                </c:pt>
                <c:pt idx="15">
                  <c:v>-6.3770148259663237</c:v>
                </c:pt>
                <c:pt idx="16">
                  <c:v>-17.170565585204834</c:v>
                </c:pt>
                <c:pt idx="17">
                  <c:v>-32.562236668774908</c:v>
                </c:pt>
                <c:pt idx="18">
                  <c:v>-44.175659633028374</c:v>
                </c:pt>
                <c:pt idx="19">
                  <c:v>-54.988196116845096</c:v>
                </c:pt>
                <c:pt idx="20">
                  <c:v>-66.578845369943167</c:v>
                </c:pt>
                <c:pt idx="21">
                  <c:v>-73.498745204487449</c:v>
                </c:pt>
              </c:numCache>
            </c:numRef>
          </c:yVal>
          <c:smooth val="1"/>
          <c:extLst>
            <c:ext xmlns:c16="http://schemas.microsoft.com/office/drawing/2014/chart" uri="{C3380CC4-5D6E-409C-BE32-E72D297353CC}">
              <c16:uniqueId val="{00000000-A529-40E9-9F23-65588249207F}"/>
            </c:ext>
          </c:extLst>
        </c:ser>
        <c:dLbls>
          <c:showLegendKey val="0"/>
          <c:showVal val="0"/>
          <c:showCatName val="0"/>
          <c:showSerName val="0"/>
          <c:showPercent val="0"/>
          <c:showBubbleSize val="0"/>
        </c:dLbls>
        <c:axId val="77306880"/>
        <c:axId val="77309056"/>
      </c:scatterChart>
      <c:scatterChart>
        <c:scatterStyle val="lineMarker"/>
        <c:varyColors val="0"/>
        <c:ser>
          <c:idx val="1"/>
          <c:order val="1"/>
          <c:tx>
            <c:v>Phase</c:v>
          </c:tx>
          <c:spPr>
            <a:ln w="25400">
              <a:solidFill>
                <a:srgbClr val="FF00FF"/>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Plots'!$U$3:$U$24</c:f>
              <c:numCache>
                <c:formatCode>0</c:formatCode>
                <c:ptCount val="22"/>
                <c:pt idx="0">
                  <c:v>90.010937236814598</c:v>
                </c:pt>
                <c:pt idx="1">
                  <c:v>90.021874461889809</c:v>
                </c:pt>
                <c:pt idx="2">
                  <c:v>90.054685949286409</c:v>
                </c:pt>
                <c:pt idx="3">
                  <c:v>90.109370431182995</c:v>
                </c:pt>
                <c:pt idx="4">
                  <c:v>90.218729124041744</c:v>
                </c:pt>
                <c:pt idx="5">
                  <c:v>90.546617478363018</c:v>
                </c:pt>
                <c:pt idx="6">
                  <c:v>91.091770837524848</c:v>
                </c:pt>
                <c:pt idx="7">
                  <c:v>92.171907374368473</c:v>
                </c:pt>
                <c:pt idx="8">
                  <c:v>95.234577494241748</c:v>
                </c:pt>
                <c:pt idx="9">
                  <c:v>99.277138513015188</c:v>
                </c:pt>
                <c:pt idx="10">
                  <c:v>102.6708954923415</c:v>
                </c:pt>
                <c:pt idx="11">
                  <c:v>98.012985053184622</c:v>
                </c:pt>
                <c:pt idx="12">
                  <c:v>89.24145734408755</c:v>
                </c:pt>
                <c:pt idx="13">
                  <c:v>78.224407130220541</c:v>
                </c:pt>
                <c:pt idx="14">
                  <c:v>56.98418926155081</c:v>
                </c:pt>
                <c:pt idx="15">
                  <c:v>37.74225469921852</c:v>
                </c:pt>
                <c:pt idx="16">
                  <c:v>23.63955402282329</c:v>
                </c:pt>
                <c:pt idx="17">
                  <c:v>17.960268946320255</c:v>
                </c:pt>
                <c:pt idx="18">
                  <c:v>23.208590318379763</c:v>
                </c:pt>
                <c:pt idx="19">
                  <c:v>36.790294354171294</c:v>
                </c:pt>
                <c:pt idx="20">
                  <c:v>60.847508940815445</c:v>
                </c:pt>
                <c:pt idx="21">
                  <c:v>74.32513785738638</c:v>
                </c:pt>
              </c:numCache>
            </c:numRef>
          </c:yVal>
          <c:smooth val="0"/>
          <c:extLst>
            <c:ext xmlns:c16="http://schemas.microsoft.com/office/drawing/2014/chart" uri="{C3380CC4-5D6E-409C-BE32-E72D297353CC}">
              <c16:uniqueId val="{00000001-A529-40E9-9F23-65588249207F}"/>
            </c:ext>
          </c:extLst>
        </c:ser>
        <c:dLbls>
          <c:showLegendKey val="0"/>
          <c:showVal val="0"/>
          <c:showCatName val="0"/>
          <c:showSerName val="0"/>
          <c:showPercent val="0"/>
          <c:showBubbleSize val="0"/>
        </c:dLbls>
        <c:axId val="77310976"/>
        <c:axId val="77316864"/>
      </c:scatterChart>
      <c:valAx>
        <c:axId val="77306880"/>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546142191409747"/>
              <c:y val="0.8566829177065397"/>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309056"/>
        <c:crossesAt val="-60"/>
        <c:crossBetween val="midCat"/>
      </c:valAx>
      <c:valAx>
        <c:axId val="77309056"/>
        <c:scaling>
          <c:orientation val="minMax"/>
          <c:max val="100"/>
          <c:min val="-4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6901088894500433E-2"/>
              <c:y val="0.4201980434263898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306880"/>
        <c:crosses val="autoZero"/>
        <c:crossBetween val="midCat"/>
      </c:valAx>
      <c:valAx>
        <c:axId val="77310976"/>
        <c:scaling>
          <c:logBase val="10"/>
          <c:orientation val="minMax"/>
        </c:scaling>
        <c:delete val="1"/>
        <c:axPos val="b"/>
        <c:numFmt formatCode="0.00E+00" sourceLinked="1"/>
        <c:majorTickMark val="out"/>
        <c:minorTickMark val="none"/>
        <c:tickLblPos val="none"/>
        <c:crossAx val="77316864"/>
        <c:crosses val="autoZero"/>
        <c:crossBetween val="midCat"/>
      </c:valAx>
      <c:valAx>
        <c:axId val="77316864"/>
        <c:scaling>
          <c:orientation val="minMax"/>
          <c:max val="150"/>
          <c:min val="-60"/>
        </c:scaling>
        <c:delete val="0"/>
        <c:axPos val="r"/>
        <c:majorGridlines/>
        <c:title>
          <c:tx>
            <c:rich>
              <a:bodyPr rot="-5400000" vert="horz"/>
              <a:lstStyle/>
              <a:p>
                <a:pPr>
                  <a:defRPr/>
                </a:pPr>
                <a:r>
                  <a:rPr lang="en-US" sz="800" b="1" i="0" baseline="0">
                    <a:solidFill>
                      <a:srgbClr val="FF33CC"/>
                    </a:solidFill>
                    <a:effectLst/>
                  </a:rPr>
                  <a:t>Phase (deg)</a:t>
                </a:r>
                <a:endParaRPr lang="en-US" sz="800">
                  <a:solidFill>
                    <a:srgbClr val="FF33CC"/>
                  </a:solidFill>
                  <a:effectLst/>
                </a:endParaRPr>
              </a:p>
            </c:rich>
          </c:tx>
          <c:overlay val="0"/>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310976"/>
        <c:crosses val="max"/>
        <c:crossBetween val="midCat"/>
        <c:majorUnit val="30"/>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800" b="1" i="0" u="none" strike="noStrike" baseline="0">
                <a:solidFill>
                  <a:srgbClr val="000000"/>
                </a:solidFill>
                <a:latin typeface="Arial"/>
                <a:ea typeface="Arial"/>
                <a:cs typeface="Arial"/>
              </a:defRPr>
            </a:pPr>
            <a:r>
              <a:rPr lang="en-US"/>
              <a:t>Buck-Boost</a:t>
            </a:r>
            <a:r>
              <a:rPr lang="en-US" baseline="0"/>
              <a:t> </a:t>
            </a:r>
            <a:r>
              <a:rPr lang="en-US"/>
              <a:t>Modulator Gain/Phase
COMP to VOUT </a:t>
            </a:r>
          </a:p>
        </c:rich>
      </c:tx>
      <c:layout>
        <c:manualLayout>
          <c:xMode val="edge"/>
          <c:yMode val="edge"/>
          <c:x val="0.33601639468979422"/>
          <c:y val="5.8112271393883246E-2"/>
        </c:manualLayout>
      </c:layout>
      <c:overlay val="0"/>
      <c:spPr>
        <a:noFill/>
        <a:ln w="25400">
          <a:noFill/>
        </a:ln>
      </c:spPr>
    </c:title>
    <c:autoTitleDeleted val="0"/>
    <c:plotArea>
      <c:layout>
        <c:manualLayout>
          <c:layoutTarget val="inner"/>
          <c:xMode val="edge"/>
          <c:yMode val="edge"/>
          <c:x val="0.13443854749105716"/>
          <c:y val="0.23452917936418061"/>
          <c:w val="0.72375820772582822"/>
          <c:h val="0.53420535299618921"/>
        </c:manualLayout>
      </c:layout>
      <c:scatterChart>
        <c:scatterStyle val="smoothMarker"/>
        <c:varyColors val="0"/>
        <c:ser>
          <c:idx val="0"/>
          <c:order val="0"/>
          <c:tx>
            <c:v>Gain</c:v>
          </c:tx>
          <c:spPr>
            <a:ln w="25400">
              <a:solidFill>
                <a:srgbClr val="000080"/>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Plots'!$D$3:$D$24</c:f>
              <c:numCache>
                <c:formatCode>0.0000</c:formatCode>
                <c:ptCount val="22"/>
                <c:pt idx="0">
                  <c:v>18.976949375692939</c:v>
                </c:pt>
                <c:pt idx="1">
                  <c:v>18.976948849614558</c:v>
                </c:pt>
                <c:pt idx="2">
                  <c:v>18.976945167067832</c:v>
                </c:pt>
                <c:pt idx="3">
                  <c:v>18.976932015140704</c:v>
                </c:pt>
                <c:pt idx="4">
                  <c:v>18.976879407831639</c:v>
                </c:pt>
                <c:pt idx="5">
                  <c:v>18.976511174552211</c:v>
                </c:pt>
                <c:pt idx="6">
                  <c:v>18.975196311117084</c:v>
                </c:pt>
                <c:pt idx="7">
                  <c:v>18.969940844057259</c:v>
                </c:pt>
                <c:pt idx="8">
                  <c:v>18.93332999577958</c:v>
                </c:pt>
                <c:pt idx="9">
                  <c:v>18.805045979371091</c:v>
                </c:pt>
                <c:pt idx="10">
                  <c:v>18.326828045653151</c:v>
                </c:pt>
                <c:pt idx="11">
                  <c:v>15.948786596029226</c:v>
                </c:pt>
                <c:pt idx="12">
                  <c:v>11.971161613298932</c:v>
                </c:pt>
                <c:pt idx="13">
                  <c:v>6.7115647526483881</c:v>
                </c:pt>
                <c:pt idx="14">
                  <c:v>-0.62056310391563219</c:v>
                </c:pt>
                <c:pt idx="15">
                  <c:v>-5.3993260319073482</c:v>
                </c:pt>
                <c:pt idx="16">
                  <c:v>-8.4520282716494535</c:v>
                </c:pt>
                <c:pt idx="17">
                  <c:v>-9.8207085708682857</c:v>
                </c:pt>
                <c:pt idx="18">
                  <c:v>-9.715012941531505</c:v>
                </c:pt>
                <c:pt idx="19">
                  <c:v>-8.56950656554395</c:v>
                </c:pt>
                <c:pt idx="20">
                  <c:v>-4.2660383320406439</c:v>
                </c:pt>
                <c:pt idx="21">
                  <c:v>0.85189976775976717</c:v>
                </c:pt>
              </c:numCache>
            </c:numRef>
          </c:yVal>
          <c:smooth val="1"/>
          <c:extLst>
            <c:ext xmlns:c16="http://schemas.microsoft.com/office/drawing/2014/chart" uri="{C3380CC4-5D6E-409C-BE32-E72D297353CC}">
              <c16:uniqueId val="{00000000-2F4E-450E-AAD2-B1E535942A9D}"/>
            </c:ext>
          </c:extLst>
        </c:ser>
        <c:dLbls>
          <c:showLegendKey val="0"/>
          <c:showVal val="0"/>
          <c:showCatName val="0"/>
          <c:showSerName val="0"/>
          <c:showPercent val="0"/>
          <c:showBubbleSize val="0"/>
        </c:dLbls>
        <c:axId val="77852672"/>
        <c:axId val="77854976"/>
      </c:scatterChart>
      <c:scatterChart>
        <c:scatterStyle val="lineMarker"/>
        <c:varyColors val="0"/>
        <c:ser>
          <c:idx val="1"/>
          <c:order val="1"/>
          <c:tx>
            <c:v>Phase</c:v>
          </c:tx>
          <c:spPr>
            <a:ln w="25400">
              <a:solidFill>
                <a:srgbClr val="FF00FF"/>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Plots'!$E$3:$E$24</c:f>
              <c:numCache>
                <c:formatCode>0.00</c:formatCode>
                <c:ptCount val="22"/>
                <c:pt idx="0">
                  <c:v>-1.1896127844758252E-2</c:v>
                </c:pt>
                <c:pt idx="1">
                  <c:v>-2.3792254758065994E-2</c:v>
                </c:pt>
                <c:pt idx="2">
                  <c:v>-5.9480620594791388E-2</c:v>
                </c:pt>
                <c:pt idx="3">
                  <c:v>-0.11896112475861735</c:v>
                </c:pt>
                <c:pt idx="4">
                  <c:v>-0.23792131807797459</c:v>
                </c:pt>
                <c:pt idx="5">
                  <c:v>-0.59478699595666706</c:v>
                </c:pt>
                <c:pt idx="6">
                  <c:v>-1.1894575958830678</c:v>
                </c:pt>
                <c:pt idx="7">
                  <c:v>-2.3779848694383197</c:v>
                </c:pt>
                <c:pt idx="8">
                  <c:v>-5.9287756035398491</c:v>
                </c:pt>
                <c:pt idx="9">
                  <c:v>-11.744546143901069</c:v>
                </c:pt>
                <c:pt idx="10">
                  <c:v>-22.658441782226877</c:v>
                </c:pt>
                <c:pt idx="11">
                  <c:v>-47.031559609440244</c:v>
                </c:pt>
                <c:pt idx="12">
                  <c:v>-67.311115440980643</c:v>
                </c:pt>
                <c:pt idx="13">
                  <c:v>-83.507674820935804</c:v>
                </c:pt>
                <c:pt idx="14">
                  <c:v>-102.38974959374835</c:v>
                </c:pt>
                <c:pt idx="15">
                  <c:v>-119.8165886044451</c:v>
                </c:pt>
                <c:pt idx="16">
                  <c:v>-138.72425643407783</c:v>
                </c:pt>
                <c:pt idx="17">
                  <c:v>-153.45293370890971</c:v>
                </c:pt>
                <c:pt idx="18">
                  <c:v>-152.35407922300379</c:v>
                </c:pt>
                <c:pt idx="19">
                  <c:v>-140.97212877072113</c:v>
                </c:pt>
                <c:pt idx="20">
                  <c:v>-118.2553142366823</c:v>
                </c:pt>
                <c:pt idx="21">
                  <c:v>-105.22611993350615</c:v>
                </c:pt>
              </c:numCache>
            </c:numRef>
          </c:yVal>
          <c:smooth val="0"/>
          <c:extLst>
            <c:ext xmlns:c16="http://schemas.microsoft.com/office/drawing/2014/chart" uri="{C3380CC4-5D6E-409C-BE32-E72D297353CC}">
              <c16:uniqueId val="{00000001-2F4E-450E-AAD2-B1E535942A9D}"/>
            </c:ext>
          </c:extLst>
        </c:ser>
        <c:dLbls>
          <c:showLegendKey val="0"/>
          <c:showVal val="0"/>
          <c:showCatName val="0"/>
          <c:showSerName val="0"/>
          <c:showPercent val="0"/>
          <c:showBubbleSize val="0"/>
        </c:dLbls>
        <c:axId val="76812672"/>
        <c:axId val="76814208"/>
      </c:scatterChart>
      <c:valAx>
        <c:axId val="77852672"/>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1620715888774773"/>
              <c:y val="0.85668308841074003"/>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854976"/>
        <c:crossesAt val="-60"/>
        <c:crossBetween val="midCat"/>
      </c:valAx>
      <c:valAx>
        <c:axId val="77854976"/>
        <c:scaling>
          <c:orientation val="minMax"/>
          <c:max val="60"/>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7882194073566885E-2"/>
              <c:y val="0.416940713293191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77852672"/>
        <c:crosses val="autoZero"/>
        <c:crossBetween val="midCat"/>
      </c:valAx>
      <c:valAx>
        <c:axId val="76812672"/>
        <c:scaling>
          <c:logBase val="10"/>
          <c:orientation val="minMax"/>
        </c:scaling>
        <c:delete val="1"/>
        <c:axPos val="b"/>
        <c:numFmt formatCode="0.00E+00" sourceLinked="1"/>
        <c:majorTickMark val="out"/>
        <c:minorTickMark val="none"/>
        <c:tickLblPos val="none"/>
        <c:crossAx val="76814208"/>
        <c:crosses val="autoZero"/>
        <c:crossBetween val="midCat"/>
      </c:valAx>
      <c:valAx>
        <c:axId val="76814208"/>
        <c:scaling>
          <c:orientation val="minMax"/>
          <c:max val="0"/>
          <c:min val="-180"/>
        </c:scaling>
        <c:delete val="0"/>
        <c:axPos val="r"/>
        <c:title>
          <c:tx>
            <c:rich>
              <a:bodyPr/>
              <a:lstStyle/>
              <a:p>
                <a:pPr>
                  <a:defRPr sz="800" b="1" i="0" u="none" strike="noStrike" baseline="0">
                    <a:solidFill>
                      <a:srgbClr val="FF00FF"/>
                    </a:solidFill>
                    <a:latin typeface="Arial"/>
                    <a:ea typeface="Arial"/>
                    <a:cs typeface="Arial"/>
                  </a:defRPr>
                </a:pPr>
                <a:r>
                  <a:rPr lang="en-US"/>
                  <a:t>Phase (deg)</a:t>
                </a:r>
              </a:p>
            </c:rich>
          </c:tx>
          <c:layout>
            <c:manualLayout>
              <c:xMode val="edge"/>
              <c:yMode val="edge"/>
              <c:x val="0.91712883715622506"/>
              <c:y val="0.3876247420944039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812672"/>
        <c:crosses val="max"/>
        <c:crossBetween val="midCat"/>
        <c:majorUnit val="30"/>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Error Amplifier Gain/Phase
VOUT to COMP </a:t>
            </a:r>
          </a:p>
        </c:rich>
      </c:tx>
      <c:layout>
        <c:manualLayout>
          <c:xMode val="edge"/>
          <c:yMode val="edge"/>
          <c:x val="0.36279984023736161"/>
          <c:y val="3.5830748429173623E-2"/>
        </c:manualLayout>
      </c:layout>
      <c:overlay val="0"/>
      <c:spPr>
        <a:noFill/>
        <a:ln w="25400">
          <a:noFill/>
        </a:ln>
      </c:spPr>
    </c:title>
    <c:autoTitleDeleted val="0"/>
    <c:plotArea>
      <c:layout>
        <c:manualLayout>
          <c:layoutTarget val="inner"/>
          <c:xMode val="edge"/>
          <c:yMode val="edge"/>
          <c:x val="0.13812179536752447"/>
          <c:y val="0.22475713022400642"/>
          <c:w val="0.72744145560229556"/>
          <c:h val="0.54397740213636336"/>
        </c:manualLayout>
      </c:layout>
      <c:scatterChart>
        <c:scatterStyle val="smoothMarker"/>
        <c:varyColors val="0"/>
        <c:ser>
          <c:idx val="0"/>
          <c:order val="0"/>
          <c:tx>
            <c:v>Gain</c:v>
          </c:tx>
          <c:spPr>
            <a:ln w="25400">
              <a:solidFill>
                <a:srgbClr val="000080"/>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Plots'!$F$3:$F$24</c:f>
              <c:numCache>
                <c:formatCode>0.00</c:formatCode>
                <c:ptCount val="22"/>
                <c:pt idx="0">
                  <c:v>65.430364857333629</c:v>
                </c:pt>
                <c:pt idx="1">
                  <c:v>59.409768282845263</c:v>
                </c:pt>
                <c:pt idx="2">
                  <c:v>51.450991480871991</c:v>
                </c:pt>
                <c:pt idx="3">
                  <c:v>45.430475036090613</c:v>
                </c:pt>
                <c:pt idx="4">
                  <c:v>39.410208980737103</c:v>
                </c:pt>
                <c:pt idx="5">
                  <c:v>31.453745093294536</c:v>
                </c:pt>
                <c:pt idx="6">
                  <c:v>25.441478797591991</c:v>
                </c:pt>
                <c:pt idx="7">
                  <c:v>19.454054103635322</c:v>
                </c:pt>
                <c:pt idx="8">
                  <c:v>11.720633805027623</c:v>
                </c:pt>
                <c:pt idx="9">
                  <c:v>6.4209847107606857</c:v>
                </c:pt>
                <c:pt idx="10">
                  <c:v>2.4723219409115389</c:v>
                </c:pt>
                <c:pt idx="11">
                  <c:v>0.12800474725150957</c:v>
                </c:pt>
                <c:pt idx="12">
                  <c:v>-0.40098317487820007</c:v>
                </c:pt>
                <c:pt idx="13">
                  <c:v>-0.77810423584604127</c:v>
                </c:pt>
                <c:pt idx="14">
                  <c:v>-2.2633639277438284</c:v>
                </c:pt>
                <c:pt idx="15">
                  <c:v>-5.3084164126384579</c:v>
                </c:pt>
                <c:pt idx="16">
                  <c:v>-10.100571504490823</c:v>
                </c:pt>
                <c:pt idx="17">
                  <c:v>-17.642278502606597</c:v>
                </c:pt>
                <c:pt idx="18">
                  <c:v>-23.599877995511143</c:v>
                </c:pt>
                <c:pt idx="19">
                  <c:v>-29.604583729719739</c:v>
                </c:pt>
                <c:pt idx="20">
                  <c:v>-37.558923072548247</c:v>
                </c:pt>
                <c:pt idx="21">
                  <c:v>-43.578885349516419</c:v>
                </c:pt>
              </c:numCache>
            </c:numRef>
          </c:yVal>
          <c:smooth val="1"/>
          <c:extLst>
            <c:ext xmlns:c16="http://schemas.microsoft.com/office/drawing/2014/chart" uri="{C3380CC4-5D6E-409C-BE32-E72D297353CC}">
              <c16:uniqueId val="{00000000-18CC-4FA2-9275-2F4B2F520934}"/>
            </c:ext>
          </c:extLst>
        </c:ser>
        <c:dLbls>
          <c:showLegendKey val="0"/>
          <c:showVal val="0"/>
          <c:showCatName val="0"/>
          <c:showSerName val="0"/>
          <c:showPercent val="0"/>
          <c:showBubbleSize val="0"/>
        </c:dLbls>
        <c:axId val="76866304"/>
        <c:axId val="76868224"/>
      </c:scatterChart>
      <c:scatterChart>
        <c:scatterStyle val="lineMarker"/>
        <c:varyColors val="0"/>
        <c:ser>
          <c:idx val="2"/>
          <c:order val="2"/>
          <c:tx>
            <c:v>test</c:v>
          </c:tx>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Lit>
              <c:formatCode>General</c:formatCode>
              <c:ptCount val="1"/>
              <c:pt idx="0">
                <c:v>0</c:v>
              </c:pt>
            </c:numLit>
          </c:yVal>
          <c:smooth val="0"/>
          <c:extLst>
            <c:ext xmlns:c16="http://schemas.microsoft.com/office/drawing/2014/chart" uri="{C3380CC4-5D6E-409C-BE32-E72D297353CC}">
              <c16:uniqueId val="{00000001-18CC-4FA2-9275-2F4B2F520934}"/>
            </c:ext>
          </c:extLst>
        </c:ser>
        <c:dLbls>
          <c:showLegendKey val="0"/>
          <c:showVal val="0"/>
          <c:showCatName val="0"/>
          <c:showSerName val="0"/>
          <c:showPercent val="0"/>
          <c:showBubbleSize val="0"/>
        </c:dLbls>
        <c:axId val="76866304"/>
        <c:axId val="76868224"/>
      </c:scatterChart>
      <c:scatterChart>
        <c:scatterStyle val="lineMarker"/>
        <c:varyColors val="0"/>
        <c:ser>
          <c:idx val="1"/>
          <c:order val="1"/>
          <c:tx>
            <c:v>Phase</c:v>
          </c:tx>
          <c:spPr>
            <a:ln w="25400">
              <a:solidFill>
                <a:srgbClr val="FF00FF"/>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Plots'!$G$3:$G$24</c:f>
              <c:numCache>
                <c:formatCode>0.0</c:formatCode>
                <c:ptCount val="22"/>
                <c:pt idx="0">
                  <c:v>90.028197364290676</c:v>
                </c:pt>
                <c:pt idx="1">
                  <c:v>90.056394713698452</c:v>
                </c:pt>
                <c:pt idx="2">
                  <c:v>90.140986523796542</c:v>
                </c:pt>
                <c:pt idx="3">
                  <c:v>90.281971187266194</c:v>
                </c:pt>
                <c:pt idx="4">
                  <c:v>90.563927492775974</c:v>
                </c:pt>
                <c:pt idx="5">
                  <c:v>91.409558397339552</c:v>
                </c:pt>
                <c:pt idx="6">
                  <c:v>92.817260003609817</c:v>
                </c:pt>
                <c:pt idx="7">
                  <c:v>95.619750743117208</c:v>
                </c:pt>
                <c:pt idx="8">
                  <c:v>103.80003080379733</c:v>
                </c:pt>
                <c:pt idx="9">
                  <c:v>116.04020440524289</c:v>
                </c:pt>
                <c:pt idx="10">
                  <c:v>133.72893433334002</c:v>
                </c:pt>
                <c:pt idx="11">
                  <c:v>154.36345256196412</c:v>
                </c:pt>
                <c:pt idx="12">
                  <c:v>160.69862133008942</c:v>
                </c:pt>
                <c:pt idx="13">
                  <c:v>158.41373078464989</c:v>
                </c:pt>
                <c:pt idx="14">
                  <c:v>142.19669946093961</c:v>
                </c:pt>
                <c:pt idx="15">
                  <c:v>123.8567744952161</c:v>
                </c:pt>
                <c:pt idx="16">
                  <c:v>108.7217111277767</c:v>
                </c:pt>
                <c:pt idx="17">
                  <c:v>97.742162636114799</c:v>
                </c:pt>
                <c:pt idx="18">
                  <c:v>93.890440039758275</c:v>
                </c:pt>
                <c:pt idx="19">
                  <c:v>91.947666434217098</c:v>
                </c:pt>
                <c:pt idx="20">
                  <c:v>90.779341344564557</c:v>
                </c:pt>
                <c:pt idx="21">
                  <c:v>90.389690312615443</c:v>
                </c:pt>
              </c:numCache>
            </c:numRef>
          </c:yVal>
          <c:smooth val="0"/>
          <c:extLst>
            <c:ext xmlns:c16="http://schemas.microsoft.com/office/drawing/2014/chart" uri="{C3380CC4-5D6E-409C-BE32-E72D297353CC}">
              <c16:uniqueId val="{00000002-18CC-4FA2-9275-2F4B2F520934}"/>
            </c:ext>
          </c:extLst>
        </c:ser>
        <c:dLbls>
          <c:showLegendKey val="0"/>
          <c:showVal val="0"/>
          <c:showCatName val="0"/>
          <c:showSerName val="0"/>
          <c:showPercent val="0"/>
          <c:showBubbleSize val="0"/>
        </c:dLbls>
        <c:axId val="76882688"/>
        <c:axId val="76884224"/>
      </c:scatterChart>
      <c:valAx>
        <c:axId val="76866304"/>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173190307733277"/>
              <c:y val="0.85668297144675098"/>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868224"/>
        <c:crossesAt val="-60"/>
        <c:crossBetween val="midCat"/>
      </c:valAx>
      <c:valAx>
        <c:axId val="76868224"/>
        <c:scaling>
          <c:orientation val="minMax"/>
          <c:max val="100"/>
          <c:min val="-2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7882194073566885E-2"/>
              <c:y val="0.4104261115087887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76866304"/>
        <c:crosses val="autoZero"/>
        <c:crossBetween val="midCat"/>
      </c:valAx>
      <c:valAx>
        <c:axId val="76882688"/>
        <c:scaling>
          <c:logBase val="10"/>
          <c:orientation val="minMax"/>
        </c:scaling>
        <c:delete val="1"/>
        <c:axPos val="b"/>
        <c:numFmt formatCode="0.00E+00" sourceLinked="1"/>
        <c:majorTickMark val="out"/>
        <c:minorTickMark val="none"/>
        <c:tickLblPos val="none"/>
        <c:crossAx val="76884224"/>
        <c:crosses val="autoZero"/>
        <c:crossBetween val="midCat"/>
      </c:valAx>
      <c:valAx>
        <c:axId val="76884224"/>
        <c:scaling>
          <c:orientation val="minMax"/>
          <c:max val="180"/>
          <c:min val="0"/>
        </c:scaling>
        <c:delete val="0"/>
        <c:axPos val="r"/>
        <c:title>
          <c:tx>
            <c:rich>
              <a:bodyPr/>
              <a:lstStyle/>
              <a:p>
                <a:pPr>
                  <a:defRPr sz="800" b="1" i="0" u="none" strike="noStrike" baseline="0">
                    <a:solidFill>
                      <a:srgbClr val="FF00FF"/>
                    </a:solidFill>
                    <a:latin typeface="Arial"/>
                    <a:ea typeface="Arial"/>
                    <a:cs typeface="Arial"/>
                  </a:defRPr>
                </a:pPr>
                <a:r>
                  <a:rPr lang="en-US"/>
                  <a:t>Phase (deg)</a:t>
                </a:r>
              </a:p>
            </c:rich>
          </c:tx>
          <c:layout>
            <c:manualLayout>
              <c:xMode val="edge"/>
              <c:yMode val="edge"/>
              <c:x val="0.91712883715622506"/>
              <c:y val="0.38110998435801591"/>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882688"/>
        <c:crosses val="max"/>
        <c:crossBetween val="midCat"/>
        <c:majorUnit val="30"/>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35365851663675"/>
          <c:y val="0.18481896088290167"/>
          <c:w val="0.72026918490431469"/>
          <c:h val="0.58391550453783636"/>
        </c:manualLayout>
      </c:layout>
      <c:scatterChart>
        <c:scatterStyle val="smoothMarker"/>
        <c:varyColors val="0"/>
        <c:ser>
          <c:idx val="0"/>
          <c:order val="0"/>
          <c:tx>
            <c:v>Gain</c:v>
          </c:tx>
          <c:spPr>
            <a:ln w="25400">
              <a:solidFill>
                <a:srgbClr val="000080"/>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Plots'!$H$3:$H$24</c:f>
              <c:numCache>
                <c:formatCode>0.00</c:formatCode>
                <c:ptCount val="22"/>
                <c:pt idx="0">
                  <c:v>84.407314233026568</c:v>
                </c:pt>
                <c:pt idx="1">
                  <c:v>78.386717132459822</c:v>
                </c:pt>
                <c:pt idx="2">
                  <c:v>70.427936647939816</c:v>
                </c:pt>
                <c:pt idx="3">
                  <c:v>64.407407051231317</c:v>
                </c:pt>
                <c:pt idx="4">
                  <c:v>58.387088388568742</c:v>
                </c:pt>
                <c:pt idx="5">
                  <c:v>50.430256267846744</c:v>
                </c:pt>
                <c:pt idx="6">
                  <c:v>44.416675108709072</c:v>
                </c:pt>
                <c:pt idx="7">
                  <c:v>38.423994947692577</c:v>
                </c:pt>
                <c:pt idx="8">
                  <c:v>30.653963800807205</c:v>
                </c:pt>
                <c:pt idx="9">
                  <c:v>25.226030690131775</c:v>
                </c:pt>
                <c:pt idx="10">
                  <c:v>20.799149986564689</c:v>
                </c:pt>
                <c:pt idx="11">
                  <c:v>16.076791343280735</c:v>
                </c:pt>
                <c:pt idx="12">
                  <c:v>11.570178438420731</c:v>
                </c:pt>
                <c:pt idx="13">
                  <c:v>5.9334605168023469</c:v>
                </c:pt>
                <c:pt idx="14">
                  <c:v>-2.8839270316594607</c:v>
                </c:pt>
                <c:pt idx="15">
                  <c:v>-10.707742444545806</c:v>
                </c:pt>
                <c:pt idx="16">
                  <c:v>-18.552599776140276</c:v>
                </c:pt>
                <c:pt idx="17">
                  <c:v>-27.462987073474885</c:v>
                </c:pt>
                <c:pt idx="18">
                  <c:v>-33.314890937042648</c:v>
                </c:pt>
                <c:pt idx="19">
                  <c:v>-38.174090295263689</c:v>
                </c:pt>
                <c:pt idx="20">
                  <c:v>-41.82496140458889</c:v>
                </c:pt>
                <c:pt idx="21">
                  <c:v>-42.726985581756651</c:v>
                </c:pt>
              </c:numCache>
            </c:numRef>
          </c:yVal>
          <c:smooth val="1"/>
          <c:extLst>
            <c:ext xmlns:c16="http://schemas.microsoft.com/office/drawing/2014/chart" uri="{C3380CC4-5D6E-409C-BE32-E72D297353CC}">
              <c16:uniqueId val="{00000000-89EA-4EED-B3C0-C1CE76228F1A}"/>
            </c:ext>
          </c:extLst>
        </c:ser>
        <c:dLbls>
          <c:showLegendKey val="0"/>
          <c:showVal val="0"/>
          <c:showCatName val="0"/>
          <c:showSerName val="0"/>
          <c:showPercent val="0"/>
          <c:showBubbleSize val="0"/>
        </c:dLbls>
        <c:axId val="76943744"/>
        <c:axId val="76945664"/>
      </c:scatterChart>
      <c:scatterChart>
        <c:scatterStyle val="lineMarker"/>
        <c:varyColors val="0"/>
        <c:ser>
          <c:idx val="1"/>
          <c:order val="1"/>
          <c:tx>
            <c:v>Phase</c:v>
          </c:tx>
          <c:spPr>
            <a:ln w="25400">
              <a:solidFill>
                <a:srgbClr val="FF00FF"/>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Plots'!$I$3:$I$24</c:f>
              <c:numCache>
                <c:formatCode>0</c:formatCode>
                <c:ptCount val="22"/>
                <c:pt idx="0">
                  <c:v>90.016301236445912</c:v>
                </c:pt>
                <c:pt idx="1">
                  <c:v>90.032602458940389</c:v>
                </c:pt>
                <c:pt idx="2">
                  <c:v>90.081505903201744</c:v>
                </c:pt>
                <c:pt idx="3">
                  <c:v>90.163010062507581</c:v>
                </c:pt>
                <c:pt idx="4">
                  <c:v>90.326006174697994</c:v>
                </c:pt>
                <c:pt idx="5">
                  <c:v>90.814771401382885</c:v>
                </c:pt>
                <c:pt idx="6">
                  <c:v>91.627802407726747</c:v>
                </c:pt>
                <c:pt idx="7">
                  <c:v>93.241765873678887</c:v>
                </c:pt>
                <c:pt idx="8">
                  <c:v>97.87125520025748</c:v>
                </c:pt>
                <c:pt idx="9">
                  <c:v>104.29565826134183</c:v>
                </c:pt>
                <c:pt idx="10">
                  <c:v>111.07049255111315</c:v>
                </c:pt>
                <c:pt idx="11">
                  <c:v>107.33189295252387</c:v>
                </c:pt>
                <c:pt idx="12">
                  <c:v>93.38750588910878</c:v>
                </c:pt>
                <c:pt idx="13">
                  <c:v>74.906055963714081</c:v>
                </c:pt>
                <c:pt idx="14">
                  <c:v>39.806949867191264</c:v>
                </c:pt>
                <c:pt idx="15">
                  <c:v>4.0401858907709993</c:v>
                </c:pt>
                <c:pt idx="16">
                  <c:v>-30.00254530630113</c:v>
                </c:pt>
                <c:pt idx="17">
                  <c:v>-55.710771072794913</c:v>
                </c:pt>
                <c:pt idx="18">
                  <c:v>-58.463639183245519</c:v>
                </c:pt>
                <c:pt idx="19">
                  <c:v>-49.02446233650403</c:v>
                </c:pt>
                <c:pt idx="20">
                  <c:v>-27.475972892117738</c:v>
                </c:pt>
                <c:pt idx="21">
                  <c:v>-14.836429620890712</c:v>
                </c:pt>
              </c:numCache>
            </c:numRef>
          </c:yVal>
          <c:smooth val="0"/>
          <c:extLst>
            <c:ext xmlns:c16="http://schemas.microsoft.com/office/drawing/2014/chart" uri="{C3380CC4-5D6E-409C-BE32-E72D297353CC}">
              <c16:uniqueId val="{00000001-89EA-4EED-B3C0-C1CE76228F1A}"/>
            </c:ext>
          </c:extLst>
        </c:ser>
        <c:dLbls>
          <c:showLegendKey val="0"/>
          <c:showVal val="0"/>
          <c:showCatName val="0"/>
          <c:showSerName val="0"/>
          <c:showPercent val="0"/>
          <c:showBubbleSize val="0"/>
        </c:dLbls>
        <c:axId val="76956032"/>
        <c:axId val="76957568"/>
      </c:scatterChart>
      <c:valAx>
        <c:axId val="76943744"/>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546141885102795"/>
              <c:y val="0.85668279416880122"/>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945664"/>
        <c:crossesAt val="-60"/>
        <c:crossBetween val="midCat"/>
      </c:valAx>
      <c:valAx>
        <c:axId val="76945664"/>
        <c:scaling>
          <c:orientation val="minMax"/>
          <c:max val="100"/>
          <c:min val="-2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6901015102369846E-2"/>
              <c:y val="0.4201979571830629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943744"/>
        <c:crosses val="autoZero"/>
        <c:crossBetween val="midCat"/>
      </c:valAx>
      <c:valAx>
        <c:axId val="76956032"/>
        <c:scaling>
          <c:logBase val="10"/>
          <c:orientation val="minMax"/>
        </c:scaling>
        <c:delete val="1"/>
        <c:axPos val="b"/>
        <c:numFmt formatCode="0.00E+00" sourceLinked="1"/>
        <c:majorTickMark val="out"/>
        <c:minorTickMark val="none"/>
        <c:tickLblPos val="none"/>
        <c:crossAx val="76957568"/>
        <c:crosses val="autoZero"/>
        <c:crossBetween val="midCat"/>
      </c:valAx>
      <c:valAx>
        <c:axId val="76957568"/>
        <c:scaling>
          <c:orientation val="minMax"/>
          <c:max val="120"/>
          <c:min val="-60"/>
        </c:scaling>
        <c:delete val="0"/>
        <c:axPos val="r"/>
        <c:majorGridlines/>
        <c:title>
          <c:tx>
            <c:rich>
              <a:bodyPr rot="-5400000" vert="horz"/>
              <a:lstStyle/>
              <a:p>
                <a:pPr>
                  <a:defRPr/>
                </a:pPr>
                <a:r>
                  <a:rPr lang="en-US" sz="800" b="1" i="0" baseline="0">
                    <a:solidFill>
                      <a:srgbClr val="FF33CC"/>
                    </a:solidFill>
                    <a:effectLst/>
                  </a:rPr>
                  <a:t>Phase (deg)</a:t>
                </a:r>
                <a:endParaRPr lang="en-US" sz="800">
                  <a:solidFill>
                    <a:srgbClr val="FF33CC"/>
                  </a:solidFill>
                  <a:effectLst/>
                </a:endParaRPr>
              </a:p>
            </c:rich>
          </c:tx>
          <c:overlay val="0"/>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956032"/>
        <c:crosses val="max"/>
        <c:crossBetween val="midCat"/>
        <c:majorUnit val="30"/>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Buck</a:t>
            </a:r>
            <a:r>
              <a:rPr lang="en-US" baseline="0"/>
              <a:t> Modulator </a:t>
            </a:r>
            <a:r>
              <a:rPr lang="en-US"/>
              <a:t>Gain/Phase
COMP to VOUT </a:t>
            </a:r>
          </a:p>
        </c:rich>
      </c:tx>
      <c:layout>
        <c:manualLayout>
          <c:xMode val="edge"/>
          <c:yMode val="edge"/>
          <c:x val="0.36279984384863284"/>
          <c:y val="3.5830748429173623E-2"/>
        </c:manualLayout>
      </c:layout>
      <c:overlay val="0"/>
      <c:spPr>
        <a:noFill/>
        <a:ln w="25400">
          <a:noFill/>
        </a:ln>
      </c:spPr>
    </c:title>
    <c:autoTitleDeleted val="0"/>
    <c:plotArea>
      <c:layout>
        <c:manualLayout>
          <c:layoutTarget val="inner"/>
          <c:xMode val="edge"/>
          <c:yMode val="edge"/>
          <c:x val="0.13812179536752447"/>
          <c:y val="0.22475713022400642"/>
          <c:w val="0.72744145560229556"/>
          <c:h val="0.54397740213636336"/>
        </c:manualLayout>
      </c:layout>
      <c:scatterChart>
        <c:scatterStyle val="smoothMarker"/>
        <c:varyColors val="0"/>
        <c:ser>
          <c:idx val="0"/>
          <c:order val="0"/>
          <c:tx>
            <c:v>Gain</c:v>
          </c:tx>
          <c:spPr>
            <a:ln w="25400">
              <a:solidFill>
                <a:srgbClr val="000080"/>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Plots'!$P$3:$P$24</c:f>
              <c:numCache>
                <c:formatCode>0.00</c:formatCode>
                <c:ptCount val="22"/>
                <c:pt idx="0">
                  <c:v>28.519374250419393</c:v>
                </c:pt>
                <c:pt idx="1">
                  <c:v>28.51937306534094</c:v>
                </c:pt>
                <c:pt idx="2">
                  <c:v>28.519364769800774</c:v>
                </c:pt>
                <c:pt idx="3">
                  <c:v>28.519335143000969</c:v>
                </c:pt>
                <c:pt idx="4">
                  <c:v>28.519216637822797</c:v>
                </c:pt>
                <c:pt idx="5">
                  <c:v>28.518387192105109</c:v>
                </c:pt>
                <c:pt idx="6">
                  <c:v>28.5154261784737</c:v>
                </c:pt>
                <c:pt idx="7">
                  <c:v>28.503602270952008</c:v>
                </c:pt>
                <c:pt idx="8">
                  <c:v>28.421724190104474</c:v>
                </c:pt>
                <c:pt idx="9">
                  <c:v>28.141293763253742</c:v>
                </c:pt>
                <c:pt idx="10">
                  <c:v>27.171764480924907</c:v>
                </c:pt>
                <c:pt idx="11">
                  <c:v>23.368658188557507</c:v>
                </c:pt>
                <c:pt idx="12">
                  <c:v>18.478007708615113</c:v>
                </c:pt>
                <c:pt idx="13">
                  <c:v>12.792806127308786</c:v>
                </c:pt>
                <c:pt idx="14">
                  <c:v>4.933801551944013</c:v>
                </c:pt>
                <c:pt idx="15">
                  <c:v>-1.0685984133278656</c:v>
                </c:pt>
                <c:pt idx="16">
                  <c:v>-7.0699940807140109</c:v>
                </c:pt>
                <c:pt idx="17">
                  <c:v>-14.91995816616831</c:v>
                </c:pt>
                <c:pt idx="18">
                  <c:v>-20.575781637517231</c:v>
                </c:pt>
                <c:pt idx="19">
                  <c:v>-25.383612387125357</c:v>
                </c:pt>
                <c:pt idx="20">
                  <c:v>-29.01992229739492</c:v>
                </c:pt>
                <c:pt idx="21">
                  <c:v>-29.919859854971023</c:v>
                </c:pt>
              </c:numCache>
            </c:numRef>
          </c:yVal>
          <c:smooth val="1"/>
          <c:extLst>
            <c:ext xmlns:c16="http://schemas.microsoft.com/office/drawing/2014/chart" uri="{C3380CC4-5D6E-409C-BE32-E72D297353CC}">
              <c16:uniqueId val="{00000000-35C9-40D8-A424-AD85F0876A8C}"/>
            </c:ext>
          </c:extLst>
        </c:ser>
        <c:dLbls>
          <c:showLegendKey val="0"/>
          <c:showVal val="0"/>
          <c:showCatName val="0"/>
          <c:showSerName val="0"/>
          <c:showPercent val="0"/>
          <c:showBubbleSize val="0"/>
        </c:dLbls>
        <c:axId val="77020160"/>
        <c:axId val="77026432"/>
      </c:scatterChart>
      <c:scatterChart>
        <c:scatterStyle val="lineMarker"/>
        <c:varyColors val="0"/>
        <c:ser>
          <c:idx val="1"/>
          <c:order val="1"/>
          <c:tx>
            <c:v>Phase</c:v>
          </c:tx>
          <c:spPr>
            <a:ln w="25400">
              <a:solidFill>
                <a:srgbClr val="FF00FF"/>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Plots'!$Q$3:$Q$24</c:f>
              <c:numCache>
                <c:formatCode>0.00</c:formatCode>
                <c:ptCount val="22"/>
                <c:pt idx="0">
                  <c:v>-1.7260127476080356E-2</c:v>
                </c:pt>
                <c:pt idx="1">
                  <c:v>-3.4520251808643605E-2</c:v>
                </c:pt>
                <c:pt idx="2">
                  <c:v>-8.630057451013208E-2</c:v>
                </c:pt>
                <c:pt idx="3">
                  <c:v>-0.17260075608320091</c:v>
                </c:pt>
                <c:pt idx="4">
                  <c:v>-0.34519836873422766</c:v>
                </c:pt>
                <c:pt idx="5">
                  <c:v>-0.8629409189765298</c:v>
                </c:pt>
                <c:pt idx="6">
                  <c:v>-1.7254891660849629</c:v>
                </c:pt>
                <c:pt idx="7">
                  <c:v>-3.4478433687487415</c:v>
                </c:pt>
                <c:pt idx="8">
                  <c:v>-8.5654533095555756</c:v>
                </c:pt>
                <c:pt idx="9">
                  <c:v>-16.763065892227708</c:v>
                </c:pt>
                <c:pt idx="10">
                  <c:v>-31.05803884099852</c:v>
                </c:pt>
                <c:pt idx="11">
                  <c:v>-56.350467508779509</c:v>
                </c:pt>
                <c:pt idx="12">
                  <c:v>-71.457163986001873</c:v>
                </c:pt>
                <c:pt idx="13">
                  <c:v>-80.189323654429344</c:v>
                </c:pt>
                <c:pt idx="14">
                  <c:v>-85.212510199388802</c:v>
                </c:pt>
                <c:pt idx="15">
                  <c:v>-86.11451979599758</c:v>
                </c:pt>
                <c:pt idx="16">
                  <c:v>-85.08215710495341</c:v>
                </c:pt>
                <c:pt idx="17">
                  <c:v>-79.781893689794543</c:v>
                </c:pt>
                <c:pt idx="18">
                  <c:v>-70.681849721378512</c:v>
                </c:pt>
                <c:pt idx="19">
                  <c:v>-55.157372080045803</c:v>
                </c:pt>
                <c:pt idx="20">
                  <c:v>-29.931832403749109</c:v>
                </c:pt>
                <c:pt idx="21">
                  <c:v>-16.064552455229055</c:v>
                </c:pt>
              </c:numCache>
            </c:numRef>
          </c:yVal>
          <c:smooth val="0"/>
          <c:extLst>
            <c:ext xmlns:c16="http://schemas.microsoft.com/office/drawing/2014/chart" uri="{C3380CC4-5D6E-409C-BE32-E72D297353CC}">
              <c16:uniqueId val="{00000001-35C9-40D8-A424-AD85F0876A8C}"/>
            </c:ext>
          </c:extLst>
        </c:ser>
        <c:dLbls>
          <c:showLegendKey val="0"/>
          <c:showVal val="0"/>
          <c:showCatName val="0"/>
          <c:showSerName val="0"/>
          <c:showPercent val="0"/>
          <c:showBubbleSize val="0"/>
        </c:dLbls>
        <c:axId val="77028352"/>
        <c:axId val="77034240"/>
      </c:scatterChart>
      <c:valAx>
        <c:axId val="77020160"/>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173203428685341"/>
              <c:y val="0.85668297144675098"/>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026432"/>
        <c:crossesAt val="-60"/>
        <c:crossBetween val="midCat"/>
      </c:valAx>
      <c:valAx>
        <c:axId val="77026432"/>
        <c:scaling>
          <c:orientation val="minMax"/>
          <c:max val="60"/>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7882197082959564E-2"/>
              <c:y val="0.4104261115087887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77020160"/>
        <c:crosses val="autoZero"/>
        <c:crossBetween val="midCat"/>
        <c:majorUnit val="20"/>
      </c:valAx>
      <c:valAx>
        <c:axId val="77028352"/>
        <c:scaling>
          <c:logBase val="10"/>
          <c:orientation val="minMax"/>
        </c:scaling>
        <c:delete val="1"/>
        <c:axPos val="b"/>
        <c:numFmt formatCode="0.00E+00" sourceLinked="1"/>
        <c:majorTickMark val="out"/>
        <c:minorTickMark val="none"/>
        <c:tickLblPos val="none"/>
        <c:crossAx val="77034240"/>
        <c:crosses val="autoZero"/>
        <c:crossBetween val="midCat"/>
      </c:valAx>
      <c:valAx>
        <c:axId val="77034240"/>
        <c:scaling>
          <c:orientation val="minMax"/>
          <c:max val="0"/>
          <c:min val="-180"/>
        </c:scaling>
        <c:delete val="0"/>
        <c:axPos val="r"/>
        <c:title>
          <c:tx>
            <c:rich>
              <a:bodyPr/>
              <a:lstStyle/>
              <a:p>
                <a:pPr>
                  <a:defRPr sz="800" b="1" i="0" u="none" strike="noStrike" baseline="0">
                    <a:solidFill>
                      <a:srgbClr val="FF00FF"/>
                    </a:solidFill>
                    <a:latin typeface="Arial"/>
                    <a:ea typeface="Arial"/>
                    <a:cs typeface="Arial"/>
                  </a:defRPr>
                </a:pPr>
                <a:r>
                  <a:rPr lang="en-US"/>
                  <a:t>Phase (deg)</a:t>
                </a:r>
              </a:p>
            </c:rich>
          </c:tx>
          <c:layout>
            <c:manualLayout>
              <c:xMode val="edge"/>
              <c:yMode val="edge"/>
              <c:x val="0.91712868367719858"/>
              <c:y val="0.38110998435801591"/>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028352"/>
        <c:crosses val="max"/>
        <c:crossBetween val="midCat"/>
        <c:majorUnit val="30"/>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Error Amplifier Gain/Phase
VOUT to COMP </a:t>
            </a:r>
          </a:p>
        </c:rich>
      </c:tx>
      <c:layout>
        <c:manualLayout>
          <c:xMode val="edge"/>
          <c:yMode val="edge"/>
          <c:x val="0.36279984384863284"/>
          <c:y val="3.5830748429173623E-2"/>
        </c:manualLayout>
      </c:layout>
      <c:overlay val="0"/>
      <c:spPr>
        <a:noFill/>
        <a:ln w="25400">
          <a:noFill/>
        </a:ln>
      </c:spPr>
    </c:title>
    <c:autoTitleDeleted val="0"/>
    <c:plotArea>
      <c:layout>
        <c:manualLayout>
          <c:layoutTarget val="inner"/>
          <c:xMode val="edge"/>
          <c:yMode val="edge"/>
          <c:x val="0.13812179536752447"/>
          <c:y val="0.22475713022400642"/>
          <c:w val="0.72744145560229556"/>
          <c:h val="0.54397740213636336"/>
        </c:manualLayout>
      </c:layout>
      <c:scatterChart>
        <c:scatterStyle val="smoothMarker"/>
        <c:varyColors val="0"/>
        <c:ser>
          <c:idx val="0"/>
          <c:order val="0"/>
          <c:tx>
            <c:v>Gain</c:v>
          </c:tx>
          <c:spPr>
            <a:ln w="25400">
              <a:solidFill>
                <a:srgbClr val="000080"/>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Plots'!$F$3:$F$24</c:f>
              <c:numCache>
                <c:formatCode>0.00</c:formatCode>
                <c:ptCount val="22"/>
                <c:pt idx="0">
                  <c:v>65.430364857333629</c:v>
                </c:pt>
                <c:pt idx="1">
                  <c:v>59.409768282845263</c:v>
                </c:pt>
                <c:pt idx="2">
                  <c:v>51.450991480871991</c:v>
                </c:pt>
                <c:pt idx="3">
                  <c:v>45.430475036090613</c:v>
                </c:pt>
                <c:pt idx="4">
                  <c:v>39.410208980737103</c:v>
                </c:pt>
                <c:pt idx="5">
                  <c:v>31.453745093294536</c:v>
                </c:pt>
                <c:pt idx="6">
                  <c:v>25.441478797591991</c:v>
                </c:pt>
                <c:pt idx="7">
                  <c:v>19.454054103635322</c:v>
                </c:pt>
                <c:pt idx="8">
                  <c:v>11.720633805027623</c:v>
                </c:pt>
                <c:pt idx="9">
                  <c:v>6.4209847107606857</c:v>
                </c:pt>
                <c:pt idx="10">
                  <c:v>2.4723219409115389</c:v>
                </c:pt>
                <c:pt idx="11">
                  <c:v>0.12800474725150957</c:v>
                </c:pt>
                <c:pt idx="12">
                  <c:v>-0.40098317487820007</c:v>
                </c:pt>
                <c:pt idx="13">
                  <c:v>-0.77810423584604127</c:v>
                </c:pt>
                <c:pt idx="14">
                  <c:v>-2.2633639277438284</c:v>
                </c:pt>
                <c:pt idx="15">
                  <c:v>-5.3084164126384579</c:v>
                </c:pt>
                <c:pt idx="16">
                  <c:v>-10.100571504490823</c:v>
                </c:pt>
                <c:pt idx="17">
                  <c:v>-17.642278502606597</c:v>
                </c:pt>
                <c:pt idx="18">
                  <c:v>-23.599877995511143</c:v>
                </c:pt>
                <c:pt idx="19">
                  <c:v>-29.604583729719739</c:v>
                </c:pt>
                <c:pt idx="20">
                  <c:v>-37.558923072548247</c:v>
                </c:pt>
                <c:pt idx="21">
                  <c:v>-43.578885349516419</c:v>
                </c:pt>
              </c:numCache>
            </c:numRef>
          </c:yVal>
          <c:smooth val="1"/>
          <c:extLst>
            <c:ext xmlns:c16="http://schemas.microsoft.com/office/drawing/2014/chart" uri="{C3380CC4-5D6E-409C-BE32-E72D297353CC}">
              <c16:uniqueId val="{00000000-186E-45B3-9AF4-15D82071023D}"/>
            </c:ext>
          </c:extLst>
        </c:ser>
        <c:dLbls>
          <c:showLegendKey val="0"/>
          <c:showVal val="0"/>
          <c:showCatName val="0"/>
          <c:showSerName val="0"/>
          <c:showPercent val="0"/>
          <c:showBubbleSize val="0"/>
        </c:dLbls>
        <c:axId val="77072640"/>
        <c:axId val="77078912"/>
      </c:scatterChart>
      <c:scatterChart>
        <c:scatterStyle val="lineMarker"/>
        <c:varyColors val="0"/>
        <c:ser>
          <c:idx val="1"/>
          <c:order val="1"/>
          <c:tx>
            <c:v>Phase</c:v>
          </c:tx>
          <c:spPr>
            <a:ln w="25400">
              <a:solidFill>
                <a:srgbClr val="FF00FF"/>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Plots'!$G$3:$G$24</c:f>
              <c:numCache>
                <c:formatCode>0.0</c:formatCode>
                <c:ptCount val="22"/>
                <c:pt idx="0">
                  <c:v>90.028197364290676</c:v>
                </c:pt>
                <c:pt idx="1">
                  <c:v>90.056394713698452</c:v>
                </c:pt>
                <c:pt idx="2">
                  <c:v>90.140986523796542</c:v>
                </c:pt>
                <c:pt idx="3">
                  <c:v>90.281971187266194</c:v>
                </c:pt>
                <c:pt idx="4">
                  <c:v>90.563927492775974</c:v>
                </c:pt>
                <c:pt idx="5">
                  <c:v>91.409558397339552</c:v>
                </c:pt>
                <c:pt idx="6">
                  <c:v>92.817260003609817</c:v>
                </c:pt>
                <c:pt idx="7">
                  <c:v>95.619750743117208</c:v>
                </c:pt>
                <c:pt idx="8">
                  <c:v>103.80003080379733</c:v>
                </c:pt>
                <c:pt idx="9">
                  <c:v>116.04020440524289</c:v>
                </c:pt>
                <c:pt idx="10">
                  <c:v>133.72893433334002</c:v>
                </c:pt>
                <c:pt idx="11">
                  <c:v>154.36345256196412</c:v>
                </c:pt>
                <c:pt idx="12">
                  <c:v>160.69862133008942</c:v>
                </c:pt>
                <c:pt idx="13">
                  <c:v>158.41373078464989</c:v>
                </c:pt>
                <c:pt idx="14">
                  <c:v>142.19669946093961</c:v>
                </c:pt>
                <c:pt idx="15">
                  <c:v>123.8567744952161</c:v>
                </c:pt>
                <c:pt idx="16">
                  <c:v>108.7217111277767</c:v>
                </c:pt>
                <c:pt idx="17">
                  <c:v>97.742162636114799</c:v>
                </c:pt>
                <c:pt idx="18">
                  <c:v>93.890440039758275</c:v>
                </c:pt>
                <c:pt idx="19">
                  <c:v>91.947666434217098</c:v>
                </c:pt>
                <c:pt idx="20">
                  <c:v>90.779341344564557</c:v>
                </c:pt>
                <c:pt idx="21">
                  <c:v>90.389690312615443</c:v>
                </c:pt>
              </c:numCache>
            </c:numRef>
          </c:yVal>
          <c:smooth val="0"/>
          <c:extLst>
            <c:ext xmlns:c16="http://schemas.microsoft.com/office/drawing/2014/chart" uri="{C3380CC4-5D6E-409C-BE32-E72D297353CC}">
              <c16:uniqueId val="{00000001-186E-45B3-9AF4-15D82071023D}"/>
            </c:ext>
          </c:extLst>
        </c:ser>
        <c:dLbls>
          <c:showLegendKey val="0"/>
          <c:showVal val="0"/>
          <c:showCatName val="0"/>
          <c:showSerName val="0"/>
          <c:showPercent val="0"/>
          <c:showBubbleSize val="0"/>
        </c:dLbls>
        <c:axId val="77080832"/>
        <c:axId val="77090816"/>
      </c:scatterChart>
      <c:valAx>
        <c:axId val="77072640"/>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173203428685341"/>
              <c:y val="0.85668297144675098"/>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078912"/>
        <c:crossesAt val="-60"/>
        <c:crossBetween val="midCat"/>
      </c:valAx>
      <c:valAx>
        <c:axId val="77078912"/>
        <c:scaling>
          <c:orientation val="minMax"/>
          <c:max val="100"/>
          <c:min val="-2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7882197082959564E-2"/>
              <c:y val="0.4104261115087887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77072640"/>
        <c:crosses val="autoZero"/>
        <c:crossBetween val="midCat"/>
      </c:valAx>
      <c:valAx>
        <c:axId val="77080832"/>
        <c:scaling>
          <c:logBase val="10"/>
          <c:orientation val="minMax"/>
        </c:scaling>
        <c:delete val="1"/>
        <c:axPos val="b"/>
        <c:numFmt formatCode="0.00E+00" sourceLinked="1"/>
        <c:majorTickMark val="out"/>
        <c:minorTickMark val="none"/>
        <c:tickLblPos val="none"/>
        <c:crossAx val="77090816"/>
        <c:crosses val="autoZero"/>
        <c:crossBetween val="midCat"/>
      </c:valAx>
      <c:valAx>
        <c:axId val="77090816"/>
        <c:scaling>
          <c:orientation val="minMax"/>
          <c:max val="180"/>
          <c:min val="0"/>
        </c:scaling>
        <c:delete val="0"/>
        <c:axPos val="r"/>
        <c:title>
          <c:tx>
            <c:rich>
              <a:bodyPr/>
              <a:lstStyle/>
              <a:p>
                <a:pPr>
                  <a:defRPr sz="800" b="1" i="0" u="none" strike="noStrike" baseline="0">
                    <a:solidFill>
                      <a:srgbClr val="FF00FF"/>
                    </a:solidFill>
                    <a:latin typeface="Arial"/>
                    <a:ea typeface="Arial"/>
                    <a:cs typeface="Arial"/>
                  </a:defRPr>
                </a:pPr>
                <a:r>
                  <a:rPr lang="en-US"/>
                  <a:t>Phase (deg)</a:t>
                </a:r>
              </a:p>
            </c:rich>
          </c:tx>
          <c:layout>
            <c:manualLayout>
              <c:xMode val="edge"/>
              <c:yMode val="edge"/>
              <c:x val="0.91712868367719858"/>
              <c:y val="0.38110998435801591"/>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080832"/>
        <c:crosses val="max"/>
        <c:crossBetween val="midCat"/>
        <c:majorUnit val="30"/>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35365851663675"/>
          <c:y val="0.19728888304236433"/>
          <c:w val="0.72026918490431469"/>
          <c:h val="0.57144557407651009"/>
        </c:manualLayout>
      </c:layout>
      <c:scatterChart>
        <c:scatterStyle val="smoothMarker"/>
        <c:varyColors val="0"/>
        <c:ser>
          <c:idx val="0"/>
          <c:order val="0"/>
          <c:tx>
            <c:v>Gain</c:v>
          </c:tx>
          <c:spPr>
            <a:ln w="25400">
              <a:solidFill>
                <a:srgbClr val="000080"/>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Plots'!$T$3:$T$24</c:f>
              <c:numCache>
                <c:formatCode>0.0000</c:formatCode>
                <c:ptCount val="22"/>
                <c:pt idx="0">
                  <c:v>93.949739107753018</c:v>
                </c:pt>
                <c:pt idx="1">
                  <c:v>87.929141348186207</c:v>
                </c:pt>
                <c:pt idx="2">
                  <c:v>79.970356250672765</c:v>
                </c:pt>
                <c:pt idx="3">
                  <c:v>73.949810179091585</c:v>
                </c:pt>
                <c:pt idx="4">
                  <c:v>67.929425618559904</c:v>
                </c:pt>
                <c:pt idx="5">
                  <c:v>59.972132285399645</c:v>
                </c:pt>
                <c:pt idx="6">
                  <c:v>53.956904976065687</c:v>
                </c:pt>
                <c:pt idx="7">
                  <c:v>47.95765637458733</c:v>
                </c:pt>
                <c:pt idx="8">
                  <c:v>40.142357995132095</c:v>
                </c:pt>
                <c:pt idx="9">
                  <c:v>34.562278474014427</c:v>
                </c:pt>
                <c:pt idx="10">
                  <c:v>29.644086421836445</c:v>
                </c:pt>
                <c:pt idx="11">
                  <c:v>23.496662935809017</c:v>
                </c:pt>
                <c:pt idx="12">
                  <c:v>18.077024533736914</c:v>
                </c:pt>
                <c:pt idx="13">
                  <c:v>12.014701891462746</c:v>
                </c:pt>
                <c:pt idx="14">
                  <c:v>2.6704376242001846</c:v>
                </c:pt>
                <c:pt idx="15">
                  <c:v>-6.3770148259663237</c:v>
                </c:pt>
                <c:pt idx="16">
                  <c:v>-17.170565585204834</c:v>
                </c:pt>
                <c:pt idx="17">
                  <c:v>-32.562236668774908</c:v>
                </c:pt>
                <c:pt idx="18">
                  <c:v>-44.175659633028374</c:v>
                </c:pt>
                <c:pt idx="19">
                  <c:v>-54.988196116845096</c:v>
                </c:pt>
                <c:pt idx="20">
                  <c:v>-66.578845369943167</c:v>
                </c:pt>
                <c:pt idx="21">
                  <c:v>-73.498745204487449</c:v>
                </c:pt>
              </c:numCache>
            </c:numRef>
          </c:yVal>
          <c:smooth val="1"/>
          <c:extLst>
            <c:ext xmlns:c16="http://schemas.microsoft.com/office/drawing/2014/chart" uri="{C3380CC4-5D6E-409C-BE32-E72D297353CC}">
              <c16:uniqueId val="{00000000-C516-4EB0-A2FA-3CF4B83170C1}"/>
            </c:ext>
          </c:extLst>
        </c:ser>
        <c:dLbls>
          <c:showLegendKey val="0"/>
          <c:showVal val="0"/>
          <c:showCatName val="0"/>
          <c:showSerName val="0"/>
          <c:showPercent val="0"/>
          <c:showBubbleSize val="0"/>
        </c:dLbls>
        <c:axId val="77133696"/>
        <c:axId val="77144064"/>
      </c:scatterChart>
      <c:scatterChart>
        <c:scatterStyle val="lineMarker"/>
        <c:varyColors val="0"/>
        <c:ser>
          <c:idx val="1"/>
          <c:order val="1"/>
          <c:tx>
            <c:v>Phase</c:v>
          </c:tx>
          <c:spPr>
            <a:ln w="25400">
              <a:solidFill>
                <a:srgbClr val="FF00FF"/>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Plots'!$U$3:$U$24</c:f>
              <c:numCache>
                <c:formatCode>0</c:formatCode>
                <c:ptCount val="22"/>
                <c:pt idx="0">
                  <c:v>90.010937236814598</c:v>
                </c:pt>
                <c:pt idx="1">
                  <c:v>90.021874461889809</c:v>
                </c:pt>
                <c:pt idx="2">
                  <c:v>90.054685949286409</c:v>
                </c:pt>
                <c:pt idx="3">
                  <c:v>90.109370431182995</c:v>
                </c:pt>
                <c:pt idx="4">
                  <c:v>90.218729124041744</c:v>
                </c:pt>
                <c:pt idx="5">
                  <c:v>90.546617478363018</c:v>
                </c:pt>
                <c:pt idx="6">
                  <c:v>91.091770837524848</c:v>
                </c:pt>
                <c:pt idx="7">
                  <c:v>92.171907374368473</c:v>
                </c:pt>
                <c:pt idx="8">
                  <c:v>95.234577494241748</c:v>
                </c:pt>
                <c:pt idx="9">
                  <c:v>99.277138513015188</c:v>
                </c:pt>
                <c:pt idx="10">
                  <c:v>102.6708954923415</c:v>
                </c:pt>
                <c:pt idx="11">
                  <c:v>98.012985053184622</c:v>
                </c:pt>
                <c:pt idx="12">
                  <c:v>89.24145734408755</c:v>
                </c:pt>
                <c:pt idx="13">
                  <c:v>78.224407130220541</c:v>
                </c:pt>
                <c:pt idx="14">
                  <c:v>56.98418926155081</c:v>
                </c:pt>
                <c:pt idx="15">
                  <c:v>37.74225469921852</c:v>
                </c:pt>
                <c:pt idx="16">
                  <c:v>23.63955402282329</c:v>
                </c:pt>
                <c:pt idx="17">
                  <c:v>17.960268946320255</c:v>
                </c:pt>
                <c:pt idx="18">
                  <c:v>23.208590318379763</c:v>
                </c:pt>
                <c:pt idx="19">
                  <c:v>36.790294354171294</c:v>
                </c:pt>
                <c:pt idx="20">
                  <c:v>60.847508940815445</c:v>
                </c:pt>
                <c:pt idx="21">
                  <c:v>74.32513785738638</c:v>
                </c:pt>
              </c:numCache>
            </c:numRef>
          </c:yVal>
          <c:smooth val="0"/>
          <c:extLst>
            <c:ext xmlns:c16="http://schemas.microsoft.com/office/drawing/2014/chart" uri="{C3380CC4-5D6E-409C-BE32-E72D297353CC}">
              <c16:uniqueId val="{00000001-C516-4EB0-A2FA-3CF4B83170C1}"/>
            </c:ext>
          </c:extLst>
        </c:ser>
        <c:dLbls>
          <c:showLegendKey val="0"/>
          <c:showVal val="0"/>
          <c:showCatName val="0"/>
          <c:showSerName val="0"/>
          <c:showPercent val="0"/>
          <c:showBubbleSize val="0"/>
        </c:dLbls>
        <c:axId val="77145984"/>
        <c:axId val="77147520"/>
      </c:scatterChart>
      <c:valAx>
        <c:axId val="77133696"/>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546139078586737"/>
              <c:y val="0.85668289077230497"/>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144064"/>
        <c:crossesAt val="-60"/>
        <c:crossBetween val="midCat"/>
      </c:valAx>
      <c:valAx>
        <c:axId val="77144064"/>
        <c:scaling>
          <c:orientation val="minMax"/>
          <c:max val="100"/>
          <c:min val="-4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6900979794587287E-2"/>
              <c:y val="0.420198071899723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133696"/>
        <c:crosses val="autoZero"/>
        <c:crossBetween val="midCat"/>
      </c:valAx>
      <c:valAx>
        <c:axId val="77145984"/>
        <c:scaling>
          <c:logBase val="10"/>
          <c:orientation val="minMax"/>
        </c:scaling>
        <c:delete val="1"/>
        <c:axPos val="b"/>
        <c:numFmt formatCode="0.00E+00" sourceLinked="1"/>
        <c:majorTickMark val="out"/>
        <c:minorTickMark val="none"/>
        <c:tickLblPos val="none"/>
        <c:crossAx val="77147520"/>
        <c:crosses val="autoZero"/>
        <c:crossBetween val="midCat"/>
      </c:valAx>
      <c:valAx>
        <c:axId val="77147520"/>
        <c:scaling>
          <c:orientation val="minMax"/>
          <c:max val="120"/>
          <c:min val="-90"/>
        </c:scaling>
        <c:delete val="0"/>
        <c:axPos val="r"/>
        <c:majorGridlines/>
        <c:title>
          <c:tx>
            <c:rich>
              <a:bodyPr rot="-5400000" vert="horz"/>
              <a:lstStyle/>
              <a:p>
                <a:pPr>
                  <a:defRPr/>
                </a:pPr>
                <a:r>
                  <a:rPr lang="en-US" sz="800" b="1" i="0" baseline="0">
                    <a:solidFill>
                      <a:srgbClr val="FF33CC"/>
                    </a:solidFill>
                    <a:effectLst/>
                  </a:rPr>
                  <a:t>Phase (deg)</a:t>
                </a:r>
                <a:endParaRPr lang="en-US" sz="800">
                  <a:solidFill>
                    <a:srgbClr val="FF33CC"/>
                  </a:solidFill>
                  <a:effectLst/>
                </a:endParaRPr>
              </a:p>
            </c:rich>
          </c:tx>
          <c:overlay val="0"/>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145984"/>
        <c:crosses val="max"/>
        <c:crossBetween val="midCat"/>
        <c:majorUnit val="30"/>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708288503347378E-2"/>
          <c:y val="4.2462933052458726E-2"/>
          <c:w val="0.57162055987041904"/>
          <c:h val="0.82802719452294515"/>
        </c:manualLayout>
      </c:layout>
      <c:barChart>
        <c:barDir val="col"/>
        <c:grouping val="stacked"/>
        <c:varyColors val="0"/>
        <c:ser>
          <c:idx val="1"/>
          <c:order val="0"/>
          <c:tx>
            <c:v>Transition Region</c:v>
          </c:tx>
          <c:spPr>
            <a:solidFill>
              <a:srgbClr val="993366"/>
            </a:solidFill>
            <a:ln w="25400">
              <a:noFill/>
            </a:ln>
          </c:spPr>
          <c:invertIfNegative val="0"/>
          <c:val>
            <c:numRef>
              <c:f>Worksheet!$E$18:$E$89</c:f>
              <c:numCache>
                <c:formatCode>0.00</c:formatCode>
                <c:ptCount val="72"/>
                <c:pt idx="0">
                  <c:v>17.142857142857142</c:v>
                </c:pt>
                <c:pt idx="1">
                  <c:v>17.142857142857142</c:v>
                </c:pt>
                <c:pt idx="2">
                  <c:v>17.142857142857142</c:v>
                </c:pt>
                <c:pt idx="3">
                  <c:v>17.142857142857142</c:v>
                </c:pt>
                <c:pt idx="4">
                  <c:v>17.142857142857142</c:v>
                </c:pt>
                <c:pt idx="5">
                  <c:v>17.142857142857142</c:v>
                </c:pt>
                <c:pt idx="6">
                  <c:v>17.142857142857142</c:v>
                </c:pt>
                <c:pt idx="7">
                  <c:v>17.142857142857142</c:v>
                </c:pt>
                <c:pt idx="8">
                  <c:v>17.142857142857142</c:v>
                </c:pt>
                <c:pt idx="9">
                  <c:v>17.142857142857142</c:v>
                </c:pt>
                <c:pt idx="10">
                  <c:v>17.142857142857142</c:v>
                </c:pt>
                <c:pt idx="11">
                  <c:v>17.142857142857142</c:v>
                </c:pt>
                <c:pt idx="12">
                  <c:v>17.142857142857142</c:v>
                </c:pt>
                <c:pt idx="13">
                  <c:v>17.142857142857142</c:v>
                </c:pt>
                <c:pt idx="14">
                  <c:v>17.142857142857142</c:v>
                </c:pt>
                <c:pt idx="15">
                  <c:v>17.142857142857142</c:v>
                </c:pt>
                <c:pt idx="16">
                  <c:v>17.142857142857142</c:v>
                </c:pt>
                <c:pt idx="17">
                  <c:v>17.142857142857142</c:v>
                </c:pt>
                <c:pt idx="18">
                  <c:v>17.142857142857142</c:v>
                </c:pt>
                <c:pt idx="19">
                  <c:v>17.142857142857142</c:v>
                </c:pt>
                <c:pt idx="20">
                  <c:v>17.142857142857142</c:v>
                </c:pt>
                <c:pt idx="21">
                  <c:v>17.142857142857142</c:v>
                </c:pt>
                <c:pt idx="22">
                  <c:v>17.142857142857142</c:v>
                </c:pt>
                <c:pt idx="23">
                  <c:v>17.142857142857142</c:v>
                </c:pt>
                <c:pt idx="24">
                  <c:v>17.142857142857142</c:v>
                </c:pt>
                <c:pt idx="25">
                  <c:v>17.142857142857142</c:v>
                </c:pt>
                <c:pt idx="26">
                  <c:v>17.142857142857142</c:v>
                </c:pt>
                <c:pt idx="27">
                  <c:v>17.142857142857142</c:v>
                </c:pt>
                <c:pt idx="28">
                  <c:v>17.142857142857142</c:v>
                </c:pt>
                <c:pt idx="29">
                  <c:v>17.142857142857142</c:v>
                </c:pt>
                <c:pt idx="30">
                  <c:v>17.142857142857142</c:v>
                </c:pt>
                <c:pt idx="31">
                  <c:v>17.142857142857142</c:v>
                </c:pt>
                <c:pt idx="32">
                  <c:v>17.142857142857142</c:v>
                </c:pt>
                <c:pt idx="33">
                  <c:v>17.142857142857142</c:v>
                </c:pt>
                <c:pt idx="34">
                  <c:v>17.142857142857142</c:v>
                </c:pt>
                <c:pt idx="35">
                  <c:v>17.142857142857142</c:v>
                </c:pt>
                <c:pt idx="36">
                  <c:v>17.142857142857142</c:v>
                </c:pt>
                <c:pt idx="37">
                  <c:v>17.142857142857142</c:v>
                </c:pt>
                <c:pt idx="38">
                  <c:v>17.142857142857142</c:v>
                </c:pt>
                <c:pt idx="39">
                  <c:v>17.142857142857142</c:v>
                </c:pt>
                <c:pt idx="40">
                  <c:v>17.142857142857142</c:v>
                </c:pt>
                <c:pt idx="41">
                  <c:v>17.142857142857142</c:v>
                </c:pt>
                <c:pt idx="42">
                  <c:v>17.142857142857142</c:v>
                </c:pt>
                <c:pt idx="43">
                  <c:v>17.142857142857142</c:v>
                </c:pt>
                <c:pt idx="44">
                  <c:v>17.142857142857142</c:v>
                </c:pt>
                <c:pt idx="45">
                  <c:v>17.142857142857142</c:v>
                </c:pt>
                <c:pt idx="46">
                  <c:v>17.142857142857142</c:v>
                </c:pt>
                <c:pt idx="47">
                  <c:v>17.142857142857142</c:v>
                </c:pt>
                <c:pt idx="48">
                  <c:v>17.142857142857142</c:v>
                </c:pt>
                <c:pt idx="49">
                  <c:v>17.142857142857142</c:v>
                </c:pt>
                <c:pt idx="50">
                  <c:v>17.142857142857142</c:v>
                </c:pt>
                <c:pt idx="51">
                  <c:v>17.142857142857142</c:v>
                </c:pt>
                <c:pt idx="52">
                  <c:v>17.142857142857142</c:v>
                </c:pt>
                <c:pt idx="53">
                  <c:v>17.142857142857142</c:v>
                </c:pt>
                <c:pt idx="54">
                  <c:v>17.142857142857142</c:v>
                </c:pt>
                <c:pt idx="55">
                  <c:v>17.142857142857142</c:v>
                </c:pt>
                <c:pt idx="56">
                  <c:v>17.142857142857142</c:v>
                </c:pt>
                <c:pt idx="57">
                  <c:v>17.142857142857142</c:v>
                </c:pt>
                <c:pt idx="58">
                  <c:v>17.142857142857142</c:v>
                </c:pt>
                <c:pt idx="59">
                  <c:v>17.142857142857142</c:v>
                </c:pt>
                <c:pt idx="60">
                  <c:v>17.142857142857142</c:v>
                </c:pt>
                <c:pt idx="61">
                  <c:v>17.142857142857142</c:v>
                </c:pt>
                <c:pt idx="62">
                  <c:v>17.142857142857142</c:v>
                </c:pt>
                <c:pt idx="63">
                  <c:v>17.142857142857142</c:v>
                </c:pt>
                <c:pt idx="64">
                  <c:v>17.142857142857142</c:v>
                </c:pt>
                <c:pt idx="65">
                  <c:v>17.142857142857142</c:v>
                </c:pt>
                <c:pt idx="66">
                  <c:v>17.142857142857142</c:v>
                </c:pt>
                <c:pt idx="67">
                  <c:v>17.142857142857142</c:v>
                </c:pt>
                <c:pt idx="68">
                  <c:v>17.142857142857142</c:v>
                </c:pt>
                <c:pt idx="69">
                  <c:v>17.142857142857142</c:v>
                </c:pt>
                <c:pt idx="70">
                  <c:v>17.142857142857142</c:v>
                </c:pt>
                <c:pt idx="71">
                  <c:v>17.142857142857142</c:v>
                </c:pt>
              </c:numCache>
            </c:numRef>
          </c:val>
          <c:extLst>
            <c:ext xmlns:c16="http://schemas.microsoft.com/office/drawing/2014/chart" uri="{C3380CC4-5D6E-409C-BE32-E72D297353CC}">
              <c16:uniqueId val="{00000000-C3ED-47DE-8A69-72C921C7CD8E}"/>
            </c:ext>
          </c:extLst>
        </c:ser>
        <c:ser>
          <c:idx val="2"/>
          <c:order val="1"/>
          <c:tx>
            <c:v>Buck-Boost Region</c:v>
          </c:tx>
          <c:spPr>
            <a:solidFill>
              <a:srgbClr val="FFCC99"/>
            </a:solidFill>
            <a:ln w="25400">
              <a:noFill/>
            </a:ln>
          </c:spPr>
          <c:invertIfNegative val="0"/>
          <c:val>
            <c:numRef>
              <c:f>Worksheet!$C$18:$C$89</c:f>
              <c:numCache>
                <c:formatCode>General</c:formatCode>
                <c:ptCount val="72"/>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pt idx="41">
                  <c:v>13</c:v>
                </c:pt>
                <c:pt idx="42">
                  <c:v>13</c:v>
                </c:pt>
                <c:pt idx="43">
                  <c:v>13</c:v>
                </c:pt>
                <c:pt idx="44">
                  <c:v>13</c:v>
                </c:pt>
                <c:pt idx="45">
                  <c:v>13</c:v>
                </c:pt>
                <c:pt idx="46">
                  <c:v>13</c:v>
                </c:pt>
                <c:pt idx="47">
                  <c:v>13</c:v>
                </c:pt>
                <c:pt idx="48">
                  <c:v>13</c:v>
                </c:pt>
                <c:pt idx="49">
                  <c:v>13</c:v>
                </c:pt>
                <c:pt idx="50">
                  <c:v>13</c:v>
                </c:pt>
                <c:pt idx="51">
                  <c:v>13</c:v>
                </c:pt>
                <c:pt idx="52">
                  <c:v>13</c:v>
                </c:pt>
                <c:pt idx="53">
                  <c:v>13</c:v>
                </c:pt>
                <c:pt idx="54">
                  <c:v>13</c:v>
                </c:pt>
                <c:pt idx="55">
                  <c:v>13</c:v>
                </c:pt>
                <c:pt idx="56">
                  <c:v>13</c:v>
                </c:pt>
                <c:pt idx="57">
                  <c:v>13</c:v>
                </c:pt>
                <c:pt idx="58">
                  <c:v>13</c:v>
                </c:pt>
                <c:pt idx="59">
                  <c:v>13</c:v>
                </c:pt>
                <c:pt idx="60">
                  <c:v>13</c:v>
                </c:pt>
                <c:pt idx="61">
                  <c:v>13</c:v>
                </c:pt>
                <c:pt idx="62">
                  <c:v>13</c:v>
                </c:pt>
                <c:pt idx="63">
                  <c:v>13</c:v>
                </c:pt>
                <c:pt idx="64">
                  <c:v>13</c:v>
                </c:pt>
                <c:pt idx="65">
                  <c:v>13</c:v>
                </c:pt>
                <c:pt idx="66">
                  <c:v>13</c:v>
                </c:pt>
                <c:pt idx="67">
                  <c:v>13</c:v>
                </c:pt>
                <c:pt idx="68">
                  <c:v>13</c:v>
                </c:pt>
                <c:pt idx="69">
                  <c:v>13</c:v>
                </c:pt>
                <c:pt idx="70">
                  <c:v>13</c:v>
                </c:pt>
                <c:pt idx="71">
                  <c:v>13</c:v>
                </c:pt>
              </c:numCache>
            </c:numRef>
          </c:val>
          <c:extLst>
            <c:ext xmlns:c16="http://schemas.microsoft.com/office/drawing/2014/chart" uri="{C3380CC4-5D6E-409C-BE32-E72D297353CC}">
              <c16:uniqueId val="{00000001-C3ED-47DE-8A69-72C921C7CD8E}"/>
            </c:ext>
          </c:extLst>
        </c:ser>
        <c:ser>
          <c:idx val="0"/>
          <c:order val="2"/>
          <c:tx>
            <c:v>Vin</c:v>
          </c:tx>
          <c:spPr>
            <a:solidFill>
              <a:srgbClr val="9999FF"/>
            </a:solidFill>
            <a:ln w="12700">
              <a:solidFill>
                <a:srgbClr val="000000"/>
              </a:solidFill>
              <a:prstDash val="solid"/>
            </a:ln>
          </c:spPr>
          <c:invertIfNegative val="1"/>
          <c:val>
            <c:numRef>
              <c:f>Worksheet!$D$18:$D$89</c:f>
              <c:numCache>
                <c:formatCode>General</c:formatCode>
                <c:ptCount val="72"/>
                <c:pt idx="0">
                  <c:v>75</c:v>
                </c:pt>
                <c:pt idx="1">
                  <c:v>74</c:v>
                </c:pt>
                <c:pt idx="2">
                  <c:v>73</c:v>
                </c:pt>
                <c:pt idx="3">
                  <c:v>72</c:v>
                </c:pt>
                <c:pt idx="4">
                  <c:v>71</c:v>
                </c:pt>
                <c:pt idx="5">
                  <c:v>70</c:v>
                </c:pt>
                <c:pt idx="6">
                  <c:v>69</c:v>
                </c:pt>
                <c:pt idx="7">
                  <c:v>68</c:v>
                </c:pt>
                <c:pt idx="8">
                  <c:v>67</c:v>
                </c:pt>
                <c:pt idx="9">
                  <c:v>66</c:v>
                </c:pt>
                <c:pt idx="10">
                  <c:v>65</c:v>
                </c:pt>
                <c:pt idx="11">
                  <c:v>64</c:v>
                </c:pt>
                <c:pt idx="12">
                  <c:v>63</c:v>
                </c:pt>
                <c:pt idx="13">
                  <c:v>62</c:v>
                </c:pt>
                <c:pt idx="14">
                  <c:v>61</c:v>
                </c:pt>
                <c:pt idx="15">
                  <c:v>60</c:v>
                </c:pt>
                <c:pt idx="16">
                  <c:v>59</c:v>
                </c:pt>
                <c:pt idx="17">
                  <c:v>58</c:v>
                </c:pt>
                <c:pt idx="18">
                  <c:v>57</c:v>
                </c:pt>
                <c:pt idx="19">
                  <c:v>56</c:v>
                </c:pt>
                <c:pt idx="20">
                  <c:v>55</c:v>
                </c:pt>
                <c:pt idx="21">
                  <c:v>54</c:v>
                </c:pt>
                <c:pt idx="22">
                  <c:v>53</c:v>
                </c:pt>
                <c:pt idx="23">
                  <c:v>52</c:v>
                </c:pt>
                <c:pt idx="24">
                  <c:v>51</c:v>
                </c:pt>
                <c:pt idx="25">
                  <c:v>50</c:v>
                </c:pt>
                <c:pt idx="26">
                  <c:v>49</c:v>
                </c:pt>
                <c:pt idx="27">
                  <c:v>48</c:v>
                </c:pt>
                <c:pt idx="28">
                  <c:v>47</c:v>
                </c:pt>
                <c:pt idx="29">
                  <c:v>46</c:v>
                </c:pt>
                <c:pt idx="30">
                  <c:v>45</c:v>
                </c:pt>
                <c:pt idx="31">
                  <c:v>44</c:v>
                </c:pt>
                <c:pt idx="32">
                  <c:v>43</c:v>
                </c:pt>
                <c:pt idx="33">
                  <c:v>42</c:v>
                </c:pt>
                <c:pt idx="34">
                  <c:v>41</c:v>
                </c:pt>
                <c:pt idx="35">
                  <c:v>40</c:v>
                </c:pt>
                <c:pt idx="36">
                  <c:v>39</c:v>
                </c:pt>
                <c:pt idx="37">
                  <c:v>38</c:v>
                </c:pt>
                <c:pt idx="38">
                  <c:v>37</c:v>
                </c:pt>
                <c:pt idx="39">
                  <c:v>36</c:v>
                </c:pt>
                <c:pt idx="40">
                  <c:v>35</c:v>
                </c:pt>
                <c:pt idx="41">
                  <c:v>34</c:v>
                </c:pt>
                <c:pt idx="42">
                  <c:v>33</c:v>
                </c:pt>
                <c:pt idx="43">
                  <c:v>32</c:v>
                </c:pt>
                <c:pt idx="44">
                  <c:v>31</c:v>
                </c:pt>
                <c:pt idx="45">
                  <c:v>30</c:v>
                </c:pt>
                <c:pt idx="46">
                  <c:v>29</c:v>
                </c:pt>
                <c:pt idx="47">
                  <c:v>28</c:v>
                </c:pt>
                <c:pt idx="48">
                  <c:v>27</c:v>
                </c:pt>
                <c:pt idx="49">
                  <c:v>26</c:v>
                </c:pt>
                <c:pt idx="50">
                  <c:v>25</c:v>
                </c:pt>
                <c:pt idx="51">
                  <c:v>24</c:v>
                </c:pt>
                <c:pt idx="52">
                  <c:v>23</c:v>
                </c:pt>
                <c:pt idx="53">
                  <c:v>22</c:v>
                </c:pt>
                <c:pt idx="54">
                  <c:v>21</c:v>
                </c:pt>
                <c:pt idx="55">
                  <c:v>20</c:v>
                </c:pt>
                <c:pt idx="56">
                  <c:v>19</c:v>
                </c:pt>
                <c:pt idx="57">
                  <c:v>18</c:v>
                </c:pt>
                <c:pt idx="58">
                  <c:v>17</c:v>
                </c:pt>
                <c:pt idx="59">
                  <c:v>16</c:v>
                </c:pt>
                <c:pt idx="60">
                  <c:v>15</c:v>
                </c:pt>
                <c:pt idx="61">
                  <c:v>14</c:v>
                </c:pt>
                <c:pt idx="62">
                  <c:v>13</c:v>
                </c:pt>
                <c:pt idx="63">
                  <c:v>12</c:v>
                </c:pt>
                <c:pt idx="64">
                  <c:v>11</c:v>
                </c:pt>
                <c:pt idx="65">
                  <c:v>10</c:v>
                </c:pt>
                <c:pt idx="66">
                  <c:v>9</c:v>
                </c:pt>
                <c:pt idx="67">
                  <c:v>8</c:v>
                </c:pt>
                <c:pt idx="68">
                  <c:v>7</c:v>
                </c:pt>
                <c:pt idx="69">
                  <c:v>6</c:v>
                </c:pt>
                <c:pt idx="70">
                  <c:v>5</c:v>
                </c:pt>
                <c:pt idx="71">
                  <c:v>4</c:v>
                </c:pt>
              </c:numCache>
            </c:numRef>
          </c:val>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2-C3ED-47DE-8A69-72C921C7CD8E}"/>
            </c:ext>
          </c:extLst>
        </c:ser>
        <c:dLbls>
          <c:showLegendKey val="0"/>
          <c:showVal val="0"/>
          <c:showCatName val="0"/>
          <c:showSerName val="0"/>
          <c:showPercent val="0"/>
          <c:showBubbleSize val="0"/>
        </c:dLbls>
        <c:gapWidth val="0"/>
        <c:overlap val="100"/>
        <c:axId val="77321344"/>
        <c:axId val="77322880"/>
      </c:barChart>
      <c:catAx>
        <c:axId val="7732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77322880"/>
        <c:crosses val="autoZero"/>
        <c:auto val="1"/>
        <c:lblAlgn val="ctr"/>
        <c:lblOffset val="100"/>
        <c:tickLblSkip val="5"/>
        <c:tickMarkSkip val="1"/>
        <c:noMultiLvlLbl val="0"/>
      </c:catAx>
      <c:valAx>
        <c:axId val="77322880"/>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77321344"/>
        <c:crosses val="autoZero"/>
        <c:crossBetween val="between"/>
      </c:valAx>
      <c:spPr>
        <a:solidFill>
          <a:srgbClr val="DDDDDD"/>
        </a:solidFill>
        <a:ln w="12700">
          <a:solidFill>
            <a:srgbClr val="808080"/>
          </a:solidFill>
          <a:prstDash val="solid"/>
        </a:ln>
      </c:spPr>
    </c:plotArea>
    <c:legend>
      <c:legendPos val="r"/>
      <c:layout>
        <c:manualLayout>
          <c:xMode val="edge"/>
          <c:yMode val="edge"/>
          <c:x val="0.77376272507049693"/>
          <c:y val="0.40127471734573494"/>
          <c:w val="0.21552906355769896"/>
          <c:h val="0.15498970564147435"/>
        </c:manualLayout>
      </c:layout>
      <c:overlay val="0"/>
      <c:spPr>
        <a:solidFill>
          <a:srgbClr val="FFFFFF"/>
        </a:solidFill>
        <a:ln w="25400">
          <a:noFill/>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95883401548177"/>
          <c:y val="6.1176470588235297E-2"/>
          <c:w val="0.58884356925883063"/>
          <c:h val="0.83294117647058818"/>
        </c:manualLayout>
      </c:layout>
      <c:barChart>
        <c:barDir val="col"/>
        <c:grouping val="stacked"/>
        <c:varyColors val="0"/>
        <c:ser>
          <c:idx val="0"/>
          <c:order val="0"/>
          <c:tx>
            <c:v>BUCK</c:v>
          </c:tx>
          <c:spPr>
            <a:solidFill>
              <a:srgbClr val="FF0000"/>
            </a:solidFill>
            <a:ln w="12700">
              <a:solidFill>
                <a:srgbClr val="000000"/>
              </a:solidFill>
              <a:prstDash val="solid"/>
            </a:ln>
          </c:spPr>
          <c:invertIfNegative val="0"/>
          <c:val>
            <c:numRef>
              <c:f>Worksheet!$C$18</c:f>
              <c:numCache>
                <c:formatCode>General</c:formatCode>
                <c:ptCount val="1"/>
                <c:pt idx="0">
                  <c:v>13</c:v>
                </c:pt>
              </c:numCache>
            </c:numRef>
          </c:val>
          <c:extLst>
            <c:ext xmlns:c16="http://schemas.microsoft.com/office/drawing/2014/chart" uri="{C3380CC4-5D6E-409C-BE32-E72D297353CC}">
              <c16:uniqueId val="{00000000-5783-45B7-AC35-6CBA4B83242C}"/>
            </c:ext>
          </c:extLst>
        </c:ser>
        <c:ser>
          <c:idx val="1"/>
          <c:order val="1"/>
          <c:tx>
            <c:v>TRANSITION</c:v>
          </c:tx>
          <c:spPr>
            <a:solidFill>
              <a:srgbClr val="FFFF00"/>
            </a:solidFill>
            <a:ln w="12700">
              <a:solidFill>
                <a:srgbClr val="000000"/>
              </a:solidFill>
              <a:prstDash val="solid"/>
            </a:ln>
          </c:spPr>
          <c:invertIfNegative val="0"/>
          <c:val>
            <c:numRef>
              <c:f>Worksheet!$E$18</c:f>
              <c:numCache>
                <c:formatCode>0.00</c:formatCode>
                <c:ptCount val="1"/>
                <c:pt idx="0">
                  <c:v>17.142857142857142</c:v>
                </c:pt>
              </c:numCache>
            </c:numRef>
          </c:val>
          <c:extLst>
            <c:ext xmlns:c16="http://schemas.microsoft.com/office/drawing/2014/chart" uri="{C3380CC4-5D6E-409C-BE32-E72D297353CC}">
              <c16:uniqueId val="{00000001-5783-45B7-AC35-6CBA4B83242C}"/>
            </c:ext>
          </c:extLst>
        </c:ser>
        <c:ser>
          <c:idx val="2"/>
          <c:order val="2"/>
          <c:tx>
            <c:v>BUCK-BOOST</c:v>
          </c:tx>
          <c:spPr>
            <a:solidFill>
              <a:srgbClr val="0000FF"/>
            </a:solidFill>
            <a:ln w="12700">
              <a:solidFill>
                <a:srgbClr val="000000"/>
              </a:solidFill>
              <a:prstDash val="solid"/>
            </a:ln>
          </c:spPr>
          <c:invertIfNegative val="0"/>
          <c:val>
            <c:numRef>
              <c:f>Worksheet!$D$18</c:f>
              <c:numCache>
                <c:formatCode>General</c:formatCode>
                <c:ptCount val="1"/>
                <c:pt idx="0">
                  <c:v>75</c:v>
                </c:pt>
              </c:numCache>
            </c:numRef>
          </c:val>
          <c:extLst>
            <c:ext xmlns:c16="http://schemas.microsoft.com/office/drawing/2014/chart" uri="{C3380CC4-5D6E-409C-BE32-E72D297353CC}">
              <c16:uniqueId val="{00000002-5783-45B7-AC35-6CBA4B83242C}"/>
            </c:ext>
          </c:extLst>
        </c:ser>
        <c:dLbls>
          <c:showLegendKey val="0"/>
          <c:showVal val="0"/>
          <c:showCatName val="0"/>
          <c:showSerName val="0"/>
          <c:showPercent val="0"/>
          <c:showBubbleSize val="0"/>
        </c:dLbls>
        <c:gapWidth val="150"/>
        <c:overlap val="100"/>
        <c:axId val="77381632"/>
        <c:axId val="77383168"/>
      </c:barChart>
      <c:catAx>
        <c:axId val="7738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7383168"/>
        <c:crosses val="autoZero"/>
        <c:auto val="1"/>
        <c:lblAlgn val="ctr"/>
        <c:lblOffset val="100"/>
        <c:tickLblSkip val="1"/>
        <c:tickMarkSkip val="1"/>
        <c:noMultiLvlLbl val="0"/>
      </c:catAx>
      <c:valAx>
        <c:axId val="77383168"/>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en-US"/>
                  <a:t>VIN</a:t>
                </a:r>
              </a:p>
            </c:rich>
          </c:tx>
          <c:layout>
            <c:manualLayout>
              <c:xMode val="edge"/>
              <c:yMode val="edge"/>
              <c:x val="3.3057851239669422E-2"/>
              <c:y val="0.451764733953710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7381632"/>
        <c:crosses val="autoZero"/>
        <c:crossBetween val="between"/>
      </c:valAx>
      <c:spPr>
        <a:solidFill>
          <a:srgbClr val="DDDDDD"/>
        </a:solidFill>
        <a:ln w="12700">
          <a:solidFill>
            <a:srgbClr val="808080"/>
          </a:solidFill>
          <a:prstDash val="solid"/>
        </a:ln>
      </c:spPr>
    </c:plotArea>
    <c:legend>
      <c:legendPos val="r"/>
      <c:layout>
        <c:manualLayout>
          <c:xMode val="edge"/>
          <c:yMode val="edge"/>
          <c:x val="0.7665296989299164"/>
          <c:y val="0.40235294117647058"/>
          <c:w val="0.21694236762167446"/>
          <c:h val="0.1505882352941176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Operational Modes Vs VIN</a:t>
            </a:r>
          </a:p>
        </c:rich>
      </c:tx>
      <c:layout>
        <c:manualLayout>
          <c:xMode val="edge"/>
          <c:yMode val="edge"/>
          <c:x val="0.19721585434732053"/>
          <c:y val="3.1707274798197391E-2"/>
        </c:manualLayout>
      </c:layout>
      <c:overlay val="0"/>
      <c:spPr>
        <a:noFill/>
        <a:ln w="25400">
          <a:noFill/>
        </a:ln>
      </c:spPr>
    </c:title>
    <c:autoTitleDeleted val="0"/>
    <c:plotArea>
      <c:layout>
        <c:manualLayout>
          <c:layoutTarget val="inner"/>
          <c:xMode val="edge"/>
          <c:yMode val="edge"/>
          <c:x val="0.14385150812064965"/>
          <c:y val="0.15853658536585366"/>
          <c:w val="0.64501160092807419"/>
          <c:h val="0.78048780487804881"/>
        </c:manualLayout>
      </c:layout>
      <c:barChart>
        <c:barDir val="col"/>
        <c:grouping val="stacked"/>
        <c:varyColors val="0"/>
        <c:ser>
          <c:idx val="0"/>
          <c:order val="0"/>
          <c:tx>
            <c:v>Buck-boost</c:v>
          </c:tx>
          <c:spPr>
            <a:solidFill>
              <a:srgbClr val="9999FF"/>
            </a:solidFill>
            <a:ln w="12700">
              <a:solidFill>
                <a:srgbClr val="000000"/>
              </a:solidFill>
              <a:prstDash val="solid"/>
            </a:ln>
          </c:spPr>
          <c:invertIfNegative val="0"/>
          <c:val>
            <c:numRef>
              <c:f>Graph!$H$8</c:f>
              <c:numCache>
                <c:formatCode>General</c:formatCode>
                <c:ptCount val="1"/>
                <c:pt idx="0">
                  <c:v>13.799999999999999</c:v>
                </c:pt>
              </c:numCache>
            </c:numRef>
          </c:val>
          <c:extLst>
            <c:ext xmlns:c16="http://schemas.microsoft.com/office/drawing/2014/chart" uri="{C3380CC4-5D6E-409C-BE32-E72D297353CC}">
              <c16:uniqueId val="{00000000-8D14-4F9D-A1C8-8B2C89FC3407}"/>
            </c:ext>
          </c:extLst>
        </c:ser>
        <c:ser>
          <c:idx val="1"/>
          <c:order val="1"/>
          <c:tx>
            <c:v>Transition</c:v>
          </c:tx>
          <c:spPr>
            <a:solidFill>
              <a:srgbClr val="993366"/>
            </a:solidFill>
            <a:ln w="12700">
              <a:solidFill>
                <a:srgbClr val="000000"/>
              </a:solidFill>
              <a:prstDash val="solid"/>
            </a:ln>
          </c:spPr>
          <c:invertIfNegative val="0"/>
          <c:val>
            <c:numRef>
              <c:f>Graph!$F$10</c:f>
              <c:numCache>
                <c:formatCode>General</c:formatCode>
                <c:ptCount val="1"/>
                <c:pt idx="0">
                  <c:v>2.2000000000000011</c:v>
                </c:pt>
              </c:numCache>
            </c:numRef>
          </c:val>
          <c:extLst>
            <c:ext xmlns:c16="http://schemas.microsoft.com/office/drawing/2014/chart" uri="{C3380CC4-5D6E-409C-BE32-E72D297353CC}">
              <c16:uniqueId val="{00000001-8D14-4F9D-A1C8-8B2C89FC3407}"/>
            </c:ext>
          </c:extLst>
        </c:ser>
        <c:ser>
          <c:idx val="2"/>
          <c:order val="2"/>
          <c:tx>
            <c:v>Buck</c:v>
          </c:tx>
          <c:spPr>
            <a:solidFill>
              <a:srgbClr val="FFFF00"/>
            </a:solidFill>
            <a:ln w="12700">
              <a:solidFill>
                <a:srgbClr val="000000"/>
              </a:solidFill>
              <a:prstDash val="solid"/>
            </a:ln>
          </c:spPr>
          <c:invertIfNegative val="0"/>
          <c:val>
            <c:numRef>
              <c:f>Graph!$H$13</c:f>
              <c:numCache>
                <c:formatCode>General</c:formatCode>
                <c:ptCount val="1"/>
                <c:pt idx="0">
                  <c:v>29</c:v>
                </c:pt>
              </c:numCache>
            </c:numRef>
          </c:val>
          <c:extLst>
            <c:ext xmlns:c16="http://schemas.microsoft.com/office/drawing/2014/chart" uri="{C3380CC4-5D6E-409C-BE32-E72D297353CC}">
              <c16:uniqueId val="{00000002-8D14-4F9D-A1C8-8B2C89FC3407}"/>
            </c:ext>
          </c:extLst>
        </c:ser>
        <c:dLbls>
          <c:showLegendKey val="0"/>
          <c:showVal val="0"/>
          <c:showCatName val="0"/>
          <c:showSerName val="0"/>
          <c:showPercent val="0"/>
          <c:showBubbleSize val="0"/>
        </c:dLbls>
        <c:gapWidth val="150"/>
        <c:overlap val="100"/>
        <c:axId val="75432704"/>
        <c:axId val="75434240"/>
      </c:barChart>
      <c:catAx>
        <c:axId val="75432704"/>
        <c:scaling>
          <c:orientation val="minMax"/>
        </c:scaling>
        <c:delete val="1"/>
        <c:axPos val="b"/>
        <c:majorTickMark val="out"/>
        <c:minorTickMark val="none"/>
        <c:tickLblPos val="none"/>
        <c:crossAx val="75434240"/>
        <c:crosses val="autoZero"/>
        <c:auto val="1"/>
        <c:lblAlgn val="ctr"/>
        <c:lblOffset val="100"/>
        <c:noMultiLvlLbl val="0"/>
      </c:catAx>
      <c:valAx>
        <c:axId val="75434240"/>
        <c:scaling>
          <c:orientation val="minMax"/>
          <c:min val="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VIN (Volts)</a:t>
                </a:r>
              </a:p>
            </c:rich>
          </c:tx>
          <c:layout>
            <c:manualLayout>
              <c:xMode val="edge"/>
              <c:yMode val="edge"/>
              <c:x val="3.4802769906926191E-2"/>
              <c:y val="0.4731706531966522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5432704"/>
        <c:crosses val="autoZero"/>
        <c:crossBetween val="between"/>
      </c:valAx>
      <c:spPr>
        <a:solidFill>
          <a:srgbClr val="DDDDDD"/>
        </a:solidFill>
        <a:ln w="12700">
          <a:solidFill>
            <a:srgbClr val="808080"/>
          </a:solidFill>
          <a:prstDash val="solid"/>
        </a:ln>
      </c:spPr>
    </c:plotArea>
    <c:legend>
      <c:legendPos val="r"/>
      <c:layout>
        <c:manualLayout>
          <c:xMode val="edge"/>
          <c:yMode val="edge"/>
          <c:x val="0.79118329466357307"/>
          <c:y val="0.3878048780487805"/>
          <c:w val="0.16937354988399073"/>
          <c:h val="0.1414634146341463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790575</xdr:colOff>
      <xdr:row>7</xdr:row>
      <xdr:rowOff>9525</xdr:rowOff>
    </xdr:from>
    <xdr:to>
      <xdr:col>1</xdr:col>
      <xdr:colOff>1104900</xdr:colOff>
      <xdr:row>8</xdr:row>
      <xdr:rowOff>28575</xdr:rowOff>
    </xdr:to>
    <xdr:sp macro="" textlink="">
      <xdr:nvSpPr>
        <xdr:cNvPr id="1691" name="Rectangle 37">
          <a:extLst>
            <a:ext uri="{FF2B5EF4-FFF2-40B4-BE49-F238E27FC236}">
              <a16:creationId xmlns:a16="http://schemas.microsoft.com/office/drawing/2014/main" id="{00000000-0008-0000-0000-00009B060000}"/>
            </a:ext>
          </a:extLst>
        </xdr:cNvPr>
        <xdr:cNvSpPr>
          <a:spLocks noChangeArrowheads="1"/>
        </xdr:cNvSpPr>
      </xdr:nvSpPr>
      <xdr:spPr bwMode="auto">
        <a:xfrm>
          <a:off x="3105150" y="1209675"/>
          <a:ext cx="314325" cy="180975"/>
        </a:xfrm>
        <a:prstGeom prst="rect">
          <a:avLst/>
        </a:prstGeom>
        <a:solidFill>
          <a:srgbClr val="CCFFFF"/>
        </a:solidFill>
        <a:ln w="9525" algn="ctr">
          <a:solidFill>
            <a:srgbClr val="000000"/>
          </a:solidFill>
          <a:miter lim="800000"/>
          <a:headEnd/>
          <a:tailEnd/>
        </a:ln>
      </xdr:spPr>
    </xdr:sp>
    <xdr:clientData/>
  </xdr:twoCellAnchor>
  <xdr:twoCellAnchor>
    <xdr:from>
      <xdr:col>1</xdr:col>
      <xdr:colOff>1247775</xdr:colOff>
      <xdr:row>50</xdr:row>
      <xdr:rowOff>0</xdr:rowOff>
    </xdr:from>
    <xdr:to>
      <xdr:col>1</xdr:col>
      <xdr:colOff>1619250</xdr:colOff>
      <xdr:row>50</xdr:row>
      <xdr:rowOff>0</xdr:rowOff>
    </xdr:to>
    <xdr:sp macro="" textlink="">
      <xdr:nvSpPr>
        <xdr:cNvPr id="1692" name="Rectangle 40">
          <a:extLst>
            <a:ext uri="{FF2B5EF4-FFF2-40B4-BE49-F238E27FC236}">
              <a16:creationId xmlns:a16="http://schemas.microsoft.com/office/drawing/2014/main" id="{00000000-0008-0000-0000-00009C060000}"/>
            </a:ext>
          </a:extLst>
        </xdr:cNvPr>
        <xdr:cNvSpPr>
          <a:spLocks noChangeArrowheads="1"/>
        </xdr:cNvSpPr>
      </xdr:nvSpPr>
      <xdr:spPr bwMode="auto">
        <a:xfrm>
          <a:off x="3562350" y="8162925"/>
          <a:ext cx="371475" cy="0"/>
        </a:xfrm>
        <a:prstGeom prst="rect">
          <a:avLst/>
        </a:prstGeom>
        <a:solidFill>
          <a:srgbClr val="FFCC99"/>
        </a:solidFill>
        <a:ln w="9525" algn="ctr">
          <a:solidFill>
            <a:srgbClr val="000000"/>
          </a:solidFill>
          <a:miter lim="800000"/>
          <a:headEnd/>
          <a:tailEnd/>
        </a:ln>
      </xdr:spPr>
    </xdr:sp>
    <xdr:clientData/>
  </xdr:twoCellAnchor>
  <xdr:twoCellAnchor>
    <xdr:from>
      <xdr:col>6</xdr:col>
      <xdr:colOff>19050</xdr:colOff>
      <xdr:row>12</xdr:row>
      <xdr:rowOff>19050</xdr:rowOff>
    </xdr:from>
    <xdr:to>
      <xdr:col>9</xdr:col>
      <xdr:colOff>85725</xdr:colOff>
      <xdr:row>34</xdr:row>
      <xdr:rowOff>19050</xdr:rowOff>
    </xdr:to>
    <xdr:graphicFrame macro="">
      <xdr:nvGraphicFramePr>
        <xdr:cNvPr id="1693" name="Chart 76">
          <a:extLst>
            <a:ext uri="{FF2B5EF4-FFF2-40B4-BE49-F238E27FC236}">
              <a16:creationId xmlns:a16="http://schemas.microsoft.com/office/drawing/2014/main" id="{00000000-0008-0000-0000-00009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2</xdr:row>
      <xdr:rowOff>66675</xdr:rowOff>
    </xdr:from>
    <xdr:to>
      <xdr:col>5</xdr:col>
      <xdr:colOff>47625</xdr:colOff>
      <xdr:row>5</xdr:row>
      <xdr:rowOff>0</xdr:rowOff>
    </xdr:to>
    <xdr:sp macro="" textlink="">
      <xdr:nvSpPr>
        <xdr:cNvPr id="1110" name="Text Box 86">
          <a:extLst>
            <a:ext uri="{FF2B5EF4-FFF2-40B4-BE49-F238E27FC236}">
              <a16:creationId xmlns:a16="http://schemas.microsoft.com/office/drawing/2014/main" id="{00000000-0008-0000-0000-000056040000}"/>
            </a:ext>
          </a:extLst>
        </xdr:cNvPr>
        <xdr:cNvSpPr txBox="1">
          <a:spLocks noChangeArrowheads="1"/>
        </xdr:cNvSpPr>
      </xdr:nvSpPr>
      <xdr:spPr bwMode="auto">
        <a:xfrm>
          <a:off x="28575" y="295275"/>
          <a:ext cx="5705475" cy="419100"/>
        </a:xfrm>
        <a:prstGeom prst="rect">
          <a:avLst/>
        </a:prstGeom>
        <a:solidFill>
          <a:srgbClr val="FFFFFF"/>
        </a:solidFill>
        <a:ln w="9525">
          <a:solidFill>
            <a:srgbClr val="FF0000"/>
          </a:solidFill>
          <a:miter lim="800000"/>
          <a:headEnd/>
          <a:tailEnd/>
        </a:ln>
      </xdr:spPr>
      <xdr:txBody>
        <a:bodyPr vertOverflow="clip" wrap="square" lIns="27432" tIns="22860" rIns="0" bIns="0" anchor="t" upright="1"/>
        <a:lstStyle/>
        <a:p>
          <a:pPr algn="l" rtl="0">
            <a:defRPr sz="1000"/>
          </a:pPr>
          <a:r>
            <a:rPr lang="en-US" sz="1100" b="0" i="0" u="none" strike="noStrike" baseline="0">
              <a:solidFill>
                <a:srgbClr val="FF0000"/>
              </a:solidFill>
              <a:latin typeface="Arial"/>
              <a:cs typeface="Arial"/>
            </a:rPr>
            <a:t>Note:  The components calculated in this worksheet are reasonable starting values for a design using the LM5118.  They are not optimized for any particular performance attribute.</a:t>
          </a:r>
        </a:p>
      </xdr:txBody>
    </xdr:sp>
    <xdr:clientData/>
  </xdr:twoCellAnchor>
  <xdr:twoCellAnchor>
    <xdr:from>
      <xdr:col>6</xdr:col>
      <xdr:colOff>9525</xdr:colOff>
      <xdr:row>77</xdr:row>
      <xdr:rowOff>85725</xdr:rowOff>
    </xdr:from>
    <xdr:to>
      <xdr:col>11</xdr:col>
      <xdr:colOff>438150</xdr:colOff>
      <xdr:row>94</xdr:row>
      <xdr:rowOff>19050</xdr:rowOff>
    </xdr:to>
    <xdr:graphicFrame macro="">
      <xdr:nvGraphicFramePr>
        <xdr:cNvPr id="1695" name="Chart 4">
          <a:extLst>
            <a:ext uri="{FF2B5EF4-FFF2-40B4-BE49-F238E27FC236}">
              <a16:creationId xmlns:a16="http://schemas.microsoft.com/office/drawing/2014/main" id="{00000000-0008-0000-0000-00009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94</xdr:row>
      <xdr:rowOff>28575</xdr:rowOff>
    </xdr:from>
    <xdr:to>
      <xdr:col>11</xdr:col>
      <xdr:colOff>438150</xdr:colOff>
      <xdr:row>112</xdr:row>
      <xdr:rowOff>114300</xdr:rowOff>
    </xdr:to>
    <xdr:graphicFrame macro="">
      <xdr:nvGraphicFramePr>
        <xdr:cNvPr id="1696" name="Chart 4">
          <a:extLst>
            <a:ext uri="{FF2B5EF4-FFF2-40B4-BE49-F238E27FC236}">
              <a16:creationId xmlns:a16="http://schemas.microsoft.com/office/drawing/2014/main" id="{00000000-0008-0000-0000-0000A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19050</xdr:colOff>
          <xdr:row>41</xdr:row>
          <xdr:rowOff>38100</xdr:rowOff>
        </xdr:from>
        <xdr:to>
          <xdr:col>13</xdr:col>
          <xdr:colOff>295275</xdr:colOff>
          <xdr:row>71</xdr:row>
          <xdr:rowOff>57150</xdr:rowOff>
        </xdr:to>
        <xdr:sp macro="" textlink="">
          <xdr:nvSpPr>
            <xdr:cNvPr id="1085" name="Object 61" hidden="1">
              <a:extLst>
                <a:ext uri="{63B3BB69-23CF-44E3-9099-C40C66FF867C}">
                  <a14:compatExt spid="_x0000_s1085"/>
                </a:ext>
                <a:ext uri="{FF2B5EF4-FFF2-40B4-BE49-F238E27FC236}">
                  <a16:creationId xmlns:a16="http://schemas.microsoft.com/office/drawing/2014/main" id="{20FF8884-1B10-D166-FC20-937C46D7C12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0.24981</cdr:x>
      <cdr:y>0.09217</cdr:y>
    </cdr:from>
    <cdr:to>
      <cdr:x>0.7048</cdr:x>
      <cdr:y>0.1942</cdr:y>
    </cdr:to>
    <cdr:sp macro="" textlink="">
      <cdr:nvSpPr>
        <cdr:cNvPr id="18433" name="Text Box 1"/>
        <cdr:cNvSpPr txBox="1">
          <a:spLocks xmlns:a="http://schemas.openxmlformats.org/drawingml/2006/main" noChangeArrowheads="1"/>
        </cdr:cNvSpPr>
      </cdr:nvSpPr>
      <cdr:spPr bwMode="auto">
        <a:xfrm xmlns:a="http://schemas.openxmlformats.org/drawingml/2006/main">
          <a:off x="1291041" y="283089"/>
          <a:ext cx="2422940" cy="311271"/>
        </a:xfrm>
        <a:prstGeom xmlns:a="http://schemas.openxmlformats.org/drawingml/2006/main" prst="rect">
          <a:avLst/>
        </a:prstGeom>
        <a:noFill xmlns:a="http://schemas.openxmlformats.org/drawingml/2006/main"/>
        <a:ln xmlns:a="http://schemas.openxmlformats.org/drawingml/2006/main" w="9525" algn="ctr">
          <a:noFill/>
          <a:miter lim="800000"/>
          <a:headEnd/>
          <a:tailEnd/>
        </a:ln>
        <a:effectLst xmlns:a="http://schemas.openxmlformats.org/drawingml/2006/main"/>
      </cdr:spPr>
      <cdr:txBody>
        <a:bodyPr xmlns:a="http://schemas.openxmlformats.org/drawingml/2006/main" vertOverflow="clip" wrap="square" lIns="27432" tIns="22860" rIns="0" bIns="0" anchor="ctr" upright="1"/>
        <a:lstStyle xmlns:a="http://schemas.openxmlformats.org/drawingml/2006/main"/>
        <a:p xmlns:a="http://schemas.openxmlformats.org/drawingml/2006/main">
          <a:pPr algn="ctr" rtl="0"/>
          <a:r>
            <a:rPr lang="en-US" sz="800" b="1" i="0" baseline="0">
              <a:effectLst/>
              <a:latin typeface="Arial" pitchFamily="34" charset="0"/>
              <a:ea typeface="+mn-ea"/>
              <a:cs typeface="Arial" pitchFamily="34" charset="0"/>
            </a:rPr>
            <a:t>Buck-Boost Loop Gain/Phase</a:t>
          </a:r>
          <a:br>
            <a:rPr lang="en-US" sz="800" b="1" i="0" baseline="0">
              <a:effectLst/>
              <a:latin typeface="Arial" pitchFamily="34" charset="0"/>
              <a:ea typeface="+mn-ea"/>
              <a:cs typeface="Arial" pitchFamily="34" charset="0"/>
            </a:rPr>
          </a:br>
          <a:endParaRPr lang="en-US" sz="800" b="1">
            <a:effectLst/>
            <a:latin typeface="Arial" pitchFamily="34" charset="0"/>
            <a:cs typeface="Arial" pitchFamily="34" charset="0"/>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0.2503</cdr:x>
      <cdr:y>0.09194</cdr:y>
    </cdr:from>
    <cdr:to>
      <cdr:x>0.70725</cdr:x>
      <cdr:y>0.1941</cdr:y>
    </cdr:to>
    <cdr:sp macro="" textlink="">
      <cdr:nvSpPr>
        <cdr:cNvPr id="18433" name="Text Box 1"/>
        <cdr:cNvSpPr txBox="1">
          <a:spLocks xmlns:a="http://schemas.openxmlformats.org/drawingml/2006/main" noChangeArrowheads="1"/>
        </cdr:cNvSpPr>
      </cdr:nvSpPr>
      <cdr:spPr bwMode="auto">
        <a:xfrm xmlns:a="http://schemas.openxmlformats.org/drawingml/2006/main">
          <a:off x="1174528" y="285819"/>
          <a:ext cx="2204275" cy="316162"/>
        </a:xfrm>
        <a:prstGeom xmlns:a="http://schemas.openxmlformats.org/drawingml/2006/main" prst="rect">
          <a:avLst/>
        </a:prstGeom>
        <a:noFill xmlns:a="http://schemas.openxmlformats.org/drawingml/2006/main"/>
        <a:ln xmlns:a="http://schemas.openxmlformats.org/drawingml/2006/main" w="9525" algn="ctr">
          <a:noFill/>
          <a:miter lim="800000"/>
          <a:headEnd/>
          <a:tailEnd/>
        </a:ln>
        <a:effectLst xmlns:a="http://schemas.openxmlformats.org/drawingml/2006/main"/>
      </cdr:spPr>
      <cdr:txBody>
        <a:bodyPr xmlns:a="http://schemas.openxmlformats.org/drawingml/2006/main" vertOverflow="clip" wrap="square" lIns="27432" tIns="22860" rIns="0" bIns="0" anchor="ctr" upright="1"/>
        <a:lstStyle xmlns:a="http://schemas.openxmlformats.org/drawingml/2006/main"/>
        <a:p xmlns:a="http://schemas.openxmlformats.org/drawingml/2006/main">
          <a:pPr algn="ctr" rtl="0"/>
          <a:r>
            <a:rPr lang="en-US" sz="800" b="1" i="0" baseline="0">
              <a:effectLst/>
              <a:latin typeface="Arial" pitchFamily="34" charset="0"/>
              <a:ea typeface="+mn-ea"/>
              <a:cs typeface="Arial" pitchFamily="34" charset="0"/>
            </a:rPr>
            <a:t>Buck Loop Gain/Phase</a:t>
          </a:r>
          <a:br>
            <a:rPr lang="en-US" sz="800" b="1" i="0" baseline="0">
              <a:effectLst/>
              <a:latin typeface="Arial" pitchFamily="34" charset="0"/>
              <a:ea typeface="+mn-ea"/>
              <a:cs typeface="Arial" pitchFamily="34" charset="0"/>
            </a:rPr>
          </a:br>
          <a:endParaRPr lang="en-US" sz="800" b="1">
            <a:effectLst/>
            <a:latin typeface="Arial" pitchFamily="34" charset="0"/>
            <a:cs typeface="Arial"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1</xdr:col>
      <xdr:colOff>0</xdr:colOff>
      <xdr:row>26</xdr:row>
      <xdr:rowOff>0</xdr:rowOff>
    </xdr:from>
    <xdr:to>
      <xdr:col>8</xdr:col>
      <xdr:colOff>314325</xdr:colOff>
      <xdr:row>43</xdr:row>
      <xdr:rowOff>0</xdr:rowOff>
    </xdr:to>
    <xdr:graphicFrame macro="">
      <xdr:nvGraphicFramePr>
        <xdr:cNvPr id="2379" name="Chart 1">
          <a:extLst>
            <a:ext uri="{FF2B5EF4-FFF2-40B4-BE49-F238E27FC236}">
              <a16:creationId xmlns:a16="http://schemas.microsoft.com/office/drawing/2014/main" id="{00000000-0008-0000-0200-00004B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44</xdr:row>
      <xdr:rowOff>0</xdr:rowOff>
    </xdr:from>
    <xdr:to>
      <xdr:col>8</xdr:col>
      <xdr:colOff>314325</xdr:colOff>
      <xdr:row>62</xdr:row>
      <xdr:rowOff>0</xdr:rowOff>
    </xdr:to>
    <xdr:graphicFrame macro="">
      <xdr:nvGraphicFramePr>
        <xdr:cNvPr id="2380" name="Chart 3">
          <a:extLst>
            <a:ext uri="{FF2B5EF4-FFF2-40B4-BE49-F238E27FC236}">
              <a16:creationId xmlns:a16="http://schemas.microsoft.com/office/drawing/2014/main" id="{00000000-0008-0000-0200-00004C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xdr:colOff>
      <xdr:row>63</xdr:row>
      <xdr:rowOff>19050</xdr:rowOff>
    </xdr:from>
    <xdr:to>
      <xdr:col>8</xdr:col>
      <xdr:colOff>295275</xdr:colOff>
      <xdr:row>81</xdr:row>
      <xdr:rowOff>152400</xdr:rowOff>
    </xdr:to>
    <xdr:graphicFrame macro="">
      <xdr:nvGraphicFramePr>
        <xdr:cNvPr id="2381" name="Chart 4">
          <a:extLst>
            <a:ext uri="{FF2B5EF4-FFF2-40B4-BE49-F238E27FC236}">
              <a16:creationId xmlns:a16="http://schemas.microsoft.com/office/drawing/2014/main" id="{00000000-0008-0000-0200-00004D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xdr:colOff>
      <xdr:row>24</xdr:row>
      <xdr:rowOff>152400</xdr:rowOff>
    </xdr:from>
    <xdr:to>
      <xdr:col>20</xdr:col>
      <xdr:colOff>314325</xdr:colOff>
      <xdr:row>42</xdr:row>
      <xdr:rowOff>152400</xdr:rowOff>
    </xdr:to>
    <xdr:graphicFrame macro="">
      <xdr:nvGraphicFramePr>
        <xdr:cNvPr id="2382" name="Chart 3">
          <a:extLst>
            <a:ext uri="{FF2B5EF4-FFF2-40B4-BE49-F238E27FC236}">
              <a16:creationId xmlns:a16="http://schemas.microsoft.com/office/drawing/2014/main" id="{00000000-0008-0000-0200-00004E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9525</xdr:colOff>
      <xdr:row>44</xdr:row>
      <xdr:rowOff>19050</xdr:rowOff>
    </xdr:from>
    <xdr:to>
      <xdr:col>20</xdr:col>
      <xdr:colOff>314325</xdr:colOff>
      <xdr:row>62</xdr:row>
      <xdr:rowOff>19050</xdr:rowOff>
    </xdr:to>
    <xdr:graphicFrame macro="">
      <xdr:nvGraphicFramePr>
        <xdr:cNvPr id="2383" name="Chart 3">
          <a:extLst>
            <a:ext uri="{FF2B5EF4-FFF2-40B4-BE49-F238E27FC236}">
              <a16:creationId xmlns:a16="http://schemas.microsoft.com/office/drawing/2014/main" id="{00000000-0008-0000-0200-00004F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62</xdr:row>
      <xdr:rowOff>152400</xdr:rowOff>
    </xdr:from>
    <xdr:to>
      <xdr:col>20</xdr:col>
      <xdr:colOff>314325</xdr:colOff>
      <xdr:row>82</xdr:row>
      <xdr:rowOff>0</xdr:rowOff>
    </xdr:to>
    <xdr:graphicFrame macro="">
      <xdr:nvGraphicFramePr>
        <xdr:cNvPr id="2384" name="Chart 4">
          <a:extLst>
            <a:ext uri="{FF2B5EF4-FFF2-40B4-BE49-F238E27FC236}">
              <a16:creationId xmlns:a16="http://schemas.microsoft.com/office/drawing/2014/main" id="{00000000-0008-0000-0200-000050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0.24981</cdr:x>
      <cdr:y>0.09242</cdr:y>
    </cdr:from>
    <cdr:to>
      <cdr:x>0.7048</cdr:x>
      <cdr:y>0.19399</cdr:y>
    </cdr:to>
    <cdr:sp macro="" textlink="">
      <cdr:nvSpPr>
        <cdr:cNvPr id="18433" name="Text Box 1"/>
        <cdr:cNvSpPr txBox="1">
          <a:spLocks xmlns:a="http://schemas.openxmlformats.org/drawingml/2006/main" noChangeArrowheads="1"/>
        </cdr:cNvSpPr>
      </cdr:nvSpPr>
      <cdr:spPr bwMode="auto">
        <a:xfrm xmlns:a="http://schemas.openxmlformats.org/drawingml/2006/main">
          <a:off x="1291041" y="283089"/>
          <a:ext cx="2422940" cy="311271"/>
        </a:xfrm>
        <a:prstGeom xmlns:a="http://schemas.openxmlformats.org/drawingml/2006/main" prst="rect">
          <a:avLst/>
        </a:prstGeom>
        <a:noFill xmlns:a="http://schemas.openxmlformats.org/drawingml/2006/main"/>
        <a:ln xmlns:a="http://schemas.openxmlformats.org/drawingml/2006/main" w="9525" algn="ctr">
          <a:noFill/>
          <a:miter lim="800000"/>
          <a:headEnd/>
          <a:tailEnd/>
        </a:ln>
        <a:effectLst xmlns:a="http://schemas.openxmlformats.org/drawingml/2006/main"/>
      </cdr:spPr>
      <cdr:txBody>
        <a:bodyPr xmlns:a="http://schemas.openxmlformats.org/drawingml/2006/main" vertOverflow="clip" wrap="square" lIns="27432" tIns="22860" rIns="0" bIns="0" anchor="ctr" upright="1"/>
        <a:lstStyle xmlns:a="http://schemas.openxmlformats.org/drawingml/2006/main"/>
        <a:p xmlns:a="http://schemas.openxmlformats.org/drawingml/2006/main">
          <a:pPr algn="ctr" rtl="0"/>
          <a:r>
            <a:rPr lang="en-US" sz="800" b="1" i="0" baseline="0">
              <a:effectLst/>
              <a:latin typeface="Arial" pitchFamily="34" charset="0"/>
              <a:ea typeface="+mn-ea"/>
              <a:cs typeface="Arial" pitchFamily="34" charset="0"/>
            </a:rPr>
            <a:t>Buck-Boost Loop Gain/Phase</a:t>
          </a:r>
          <a:br>
            <a:rPr lang="en-US" sz="800" b="1" i="0" baseline="0">
              <a:effectLst/>
              <a:latin typeface="Arial" pitchFamily="34" charset="0"/>
              <a:ea typeface="+mn-ea"/>
              <a:cs typeface="Arial" pitchFamily="34" charset="0"/>
            </a:rPr>
          </a:br>
          <a:endParaRPr lang="en-US" sz="800" b="1">
            <a:effectLst/>
            <a:latin typeface="Arial" pitchFamily="34" charset="0"/>
            <a:cs typeface="Arial" pitchFamily="34" charset="0"/>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0.252</cdr:x>
      <cdr:y>0.09218</cdr:y>
    </cdr:from>
    <cdr:to>
      <cdr:x>0.70628</cdr:x>
      <cdr:y>0.19458</cdr:y>
    </cdr:to>
    <cdr:sp macro="" textlink="">
      <cdr:nvSpPr>
        <cdr:cNvPr id="18433" name="Text Box 1"/>
        <cdr:cNvSpPr txBox="1">
          <a:spLocks xmlns:a="http://schemas.openxmlformats.org/drawingml/2006/main" noChangeArrowheads="1"/>
        </cdr:cNvSpPr>
      </cdr:nvSpPr>
      <cdr:spPr bwMode="auto">
        <a:xfrm xmlns:a="http://schemas.openxmlformats.org/drawingml/2006/main">
          <a:off x="1174528" y="285819"/>
          <a:ext cx="2204275" cy="316162"/>
        </a:xfrm>
        <a:prstGeom xmlns:a="http://schemas.openxmlformats.org/drawingml/2006/main" prst="rect">
          <a:avLst/>
        </a:prstGeom>
        <a:noFill xmlns:a="http://schemas.openxmlformats.org/drawingml/2006/main"/>
        <a:ln xmlns:a="http://schemas.openxmlformats.org/drawingml/2006/main" w="9525" algn="ctr">
          <a:noFill/>
          <a:miter lim="800000"/>
          <a:headEnd/>
          <a:tailEnd/>
        </a:ln>
        <a:effectLst xmlns:a="http://schemas.openxmlformats.org/drawingml/2006/main"/>
      </cdr:spPr>
      <cdr:txBody>
        <a:bodyPr xmlns:a="http://schemas.openxmlformats.org/drawingml/2006/main" vertOverflow="clip" wrap="square" lIns="27432" tIns="22860" rIns="0" bIns="0" anchor="ctr" upright="1"/>
        <a:lstStyle xmlns:a="http://schemas.openxmlformats.org/drawingml/2006/main"/>
        <a:p xmlns:a="http://schemas.openxmlformats.org/drawingml/2006/main">
          <a:pPr algn="ctr" rtl="0"/>
          <a:r>
            <a:rPr lang="en-US" sz="800" b="1" i="0" baseline="0">
              <a:effectLst/>
              <a:latin typeface="Arial" pitchFamily="34" charset="0"/>
              <a:ea typeface="+mn-ea"/>
              <a:cs typeface="Arial" pitchFamily="34" charset="0"/>
            </a:rPr>
            <a:t>Buck Loop Gain/Phase</a:t>
          </a:r>
          <a:br>
            <a:rPr lang="en-US" sz="800" b="1" i="0" baseline="0">
              <a:effectLst/>
              <a:latin typeface="Arial" pitchFamily="34" charset="0"/>
              <a:ea typeface="+mn-ea"/>
              <a:cs typeface="Arial" pitchFamily="34" charset="0"/>
            </a:rPr>
          </a:br>
          <a:endParaRPr lang="en-US" sz="800" b="1">
            <a:effectLst/>
            <a:latin typeface="Arial" pitchFamily="34" charset="0"/>
            <a:cs typeface="Arial"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5</xdr:col>
      <xdr:colOff>514350</xdr:colOff>
      <xdr:row>27</xdr:row>
      <xdr:rowOff>38100</xdr:rowOff>
    </xdr:from>
    <xdr:to>
      <xdr:col>17</xdr:col>
      <xdr:colOff>314325</xdr:colOff>
      <xdr:row>54</xdr:row>
      <xdr:rowOff>152400</xdr:rowOff>
    </xdr:to>
    <xdr:graphicFrame macro="">
      <xdr:nvGraphicFramePr>
        <xdr:cNvPr id="3183" name="Chart 4">
          <a:extLst>
            <a:ext uri="{FF2B5EF4-FFF2-40B4-BE49-F238E27FC236}">
              <a16:creationId xmlns:a16="http://schemas.microsoft.com/office/drawing/2014/main" id="{00000000-0008-0000-0300-00006F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85725</xdr:colOff>
      <xdr:row>0</xdr:row>
      <xdr:rowOff>66675</xdr:rowOff>
    </xdr:from>
    <xdr:to>
      <xdr:col>15</xdr:col>
      <xdr:colOff>428625</xdr:colOff>
      <xdr:row>25</xdr:row>
      <xdr:rowOff>66675</xdr:rowOff>
    </xdr:to>
    <xdr:graphicFrame macro="">
      <xdr:nvGraphicFramePr>
        <xdr:cNvPr id="3184" name="Chart 6">
          <a:extLst>
            <a:ext uri="{FF2B5EF4-FFF2-40B4-BE49-F238E27FC236}">
              <a16:creationId xmlns:a16="http://schemas.microsoft.com/office/drawing/2014/main" id="{00000000-0008-0000-0300-000070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0.80167</cdr:x>
      <cdr:y>0.34681</cdr:y>
    </cdr:from>
    <cdr:to>
      <cdr:x>0.9726</cdr:x>
      <cdr:y>0.40751</cdr:y>
    </cdr:to>
    <cdr:sp macro="" textlink="">
      <cdr:nvSpPr>
        <cdr:cNvPr id="5121" name="Text Box 1025"/>
        <cdr:cNvSpPr txBox="1">
          <a:spLocks xmlns:a="http://schemas.openxmlformats.org/drawingml/2006/main" noChangeArrowheads="1"/>
        </cdr:cNvSpPr>
      </cdr:nvSpPr>
      <cdr:spPr bwMode="auto">
        <a:xfrm xmlns:a="http://schemas.openxmlformats.org/drawingml/2006/main">
          <a:off x="5713022" y="1566789"/>
          <a:ext cx="1219610" cy="271734"/>
        </a:xfrm>
        <a:prstGeom xmlns:a="http://schemas.openxmlformats.org/drawingml/2006/main" prst="rect">
          <a:avLst/>
        </a:prstGeom>
        <a:noFill xmlns:a="http://schemas.openxmlformats.org/drawingml/2006/main"/>
        <a:ln xmlns:a="http://schemas.openxmlformats.org/drawingml/2006/main" w="9525" algn="ctr">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US" sz="1200" b="0" i="0" u="none" strike="noStrike" baseline="0">
              <a:solidFill>
                <a:srgbClr val="000000"/>
              </a:solidFill>
              <a:latin typeface="Arial"/>
              <a:cs typeface="Arial"/>
            </a:rPr>
            <a:t>Buck Region</a:t>
          </a:r>
        </a:p>
      </cdr:txBody>
    </cdr:sp>
  </cdr:relSizeAnchor>
  <cdr:relSizeAnchor xmlns:cdr="http://schemas.openxmlformats.org/drawingml/2006/chartDrawing">
    <cdr:from>
      <cdr:x>0.75405</cdr:x>
      <cdr:y>0.36101</cdr:y>
    </cdr:from>
    <cdr:to>
      <cdr:x>0.79549</cdr:x>
      <cdr:y>0.38181</cdr:y>
    </cdr:to>
    <cdr:sp macro="" textlink="">
      <cdr:nvSpPr>
        <cdr:cNvPr id="5122" name="Rectangle 1026"/>
        <cdr:cNvSpPr>
          <a:spLocks xmlns:a="http://schemas.openxmlformats.org/drawingml/2006/main" noChangeArrowheads="1"/>
        </cdr:cNvSpPr>
      </cdr:nvSpPr>
      <cdr:spPr bwMode="auto">
        <a:xfrm xmlns:a="http://schemas.openxmlformats.org/drawingml/2006/main">
          <a:off x="5372094" y="1630597"/>
          <a:ext cx="295237" cy="92412"/>
        </a:xfrm>
        <a:prstGeom xmlns:a="http://schemas.openxmlformats.org/drawingml/2006/main" prst="rect">
          <a:avLst/>
        </a:prstGeom>
        <a:solidFill xmlns:a="http://schemas.openxmlformats.org/drawingml/2006/main">
          <a:srgbClr val="DDDDDD"/>
        </a:solidFill>
        <a:ln xmlns:a="http://schemas.openxmlformats.org/drawingml/2006/main" w="9525" algn="ctr">
          <a:solidFill>
            <a:srgbClr val="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0.07205</cdr:x>
      <cdr:y>0.89006</cdr:y>
    </cdr:from>
    <cdr:to>
      <cdr:x>0.66649</cdr:x>
      <cdr:y>0.93019</cdr:y>
    </cdr:to>
    <cdr:sp macro="" textlink="">
      <cdr:nvSpPr>
        <cdr:cNvPr id="5123" name="Rectangle 1027"/>
        <cdr:cNvSpPr>
          <a:spLocks xmlns:a="http://schemas.openxmlformats.org/drawingml/2006/main" noChangeArrowheads="1"/>
        </cdr:cNvSpPr>
      </cdr:nvSpPr>
      <cdr:spPr bwMode="auto">
        <a:xfrm xmlns:a="http://schemas.openxmlformats.org/drawingml/2006/main">
          <a:off x="514744" y="4003594"/>
          <a:ext cx="4229971" cy="181523"/>
        </a:xfrm>
        <a:prstGeom xmlns:a="http://schemas.openxmlformats.org/drawingml/2006/main" prst="rect">
          <a:avLst/>
        </a:prstGeom>
        <a:solidFill xmlns:a="http://schemas.openxmlformats.org/drawingml/2006/main">
          <a:srgbClr val="FFFFFF"/>
        </a:solidFill>
        <a:ln xmlns:a="http://schemas.openxmlformats.org/drawingml/2006/main" w="9525" algn="ctr">
          <a:solidFill>
            <a:srgbClr val="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9.xml><?xml version="1.0" encoding="utf-8"?>
<xdr:wsDr xmlns:xdr="http://schemas.openxmlformats.org/drawingml/2006/spreadsheetDrawing" xmlns:a="http://schemas.openxmlformats.org/drawingml/2006/main">
  <xdr:twoCellAnchor>
    <xdr:from>
      <xdr:col>4</xdr:col>
      <xdr:colOff>266700</xdr:colOff>
      <xdr:row>17</xdr:row>
      <xdr:rowOff>28575</xdr:rowOff>
    </xdr:from>
    <xdr:to>
      <xdr:col>9</xdr:col>
      <xdr:colOff>295275</xdr:colOff>
      <xdr:row>41</xdr:row>
      <xdr:rowOff>47625</xdr:rowOff>
    </xdr:to>
    <xdr:graphicFrame macro="">
      <xdr:nvGraphicFramePr>
        <xdr:cNvPr id="4152" name="Chart 6">
          <a:extLst>
            <a:ext uri="{FF2B5EF4-FFF2-40B4-BE49-F238E27FC236}">
              <a16:creationId xmlns:a16="http://schemas.microsoft.com/office/drawing/2014/main" id="{00000000-0008-0000-0400-000038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LM5118_EVAL_A9_BOM" connectionId="1" xr16:uid="{00000000-0016-0000-0100-000000000000}" autoFormatId="16" applyNumberFormats="0" applyBorderFormats="0" applyFontFormats="1" applyPatternFormats="1" applyAlignmentFormats="0" applyWidthHeightFormats="0">
  <queryTableRefresh nextId="8">
    <queryTableFields count="6">
      <queryTableField id="1" name="LM5118_EVAL_A3"/>
      <queryTableField id="2" name="F2"/>
      <queryTableField id="3" name="F3"/>
      <queryTableField id="4" name="F4"/>
      <queryTableField id="6" name="F6"/>
      <queryTableField id="7" name="F7"/>
    </queryTableFields>
    <queryTableDeletedFields count="1">
      <deletedField name="F5"/>
    </queryTableDeleted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image" Target="../media/image1.emf"/><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oleObject" Target="../embeddings/oleObject1.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4"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J117"/>
  <sheetViews>
    <sheetView showGridLines="0" tabSelected="1" topLeftCell="A9" zoomScaleNormal="100" workbookViewId="0">
      <selection activeCell="E7" sqref="E7"/>
    </sheetView>
  </sheetViews>
  <sheetFormatPr defaultRowHeight="12.75" x14ac:dyDescent="0.2"/>
  <cols>
    <col min="1" max="1" width="34.7109375" style="8" customWidth="1"/>
    <col min="2" max="2" width="24.7109375" style="8" customWidth="1"/>
    <col min="3" max="3" width="13.7109375" style="8" customWidth="1"/>
    <col min="4" max="4" width="1.85546875" style="8" customWidth="1"/>
    <col min="5" max="5" width="10.28515625" style="103" customWidth="1"/>
    <col min="6" max="6" width="3.85546875" style="8" customWidth="1"/>
    <col min="7" max="7" width="23.5703125" style="9" customWidth="1"/>
    <col min="8" max="8" width="13.28515625" style="8" customWidth="1"/>
    <col min="9" max="9" width="17.7109375" style="8" customWidth="1"/>
    <col min="10" max="10" width="12.7109375" style="10" customWidth="1"/>
    <col min="11" max="11" width="2.7109375" style="8" customWidth="1"/>
    <col min="12" max="12" width="11.5703125" style="8" bestFit="1" customWidth="1"/>
    <col min="13" max="13" width="9.140625" style="8"/>
    <col min="14" max="14" width="16.85546875" style="8" bestFit="1" customWidth="1"/>
    <col min="15" max="16384" width="9.140625" style="8"/>
  </cols>
  <sheetData>
    <row r="1" spans="1:10" ht="18" x14ac:dyDescent="0.25">
      <c r="A1" s="7" t="s">
        <v>174</v>
      </c>
      <c r="E1" s="104" t="s">
        <v>179</v>
      </c>
    </row>
    <row r="2" spans="1:10" x14ac:dyDescent="0.2">
      <c r="A2" s="131" t="s">
        <v>180</v>
      </c>
    </row>
    <row r="3" spans="1:10" x14ac:dyDescent="0.2">
      <c r="A3" s="11"/>
      <c r="J3" s="8"/>
    </row>
    <row r="4" spans="1:10" x14ac:dyDescent="0.2">
      <c r="J4" s="8"/>
    </row>
    <row r="5" spans="1:10" x14ac:dyDescent="0.2">
      <c r="A5" s="12"/>
      <c r="B5" s="13"/>
      <c r="C5" s="14"/>
      <c r="D5" s="13"/>
      <c r="J5" s="8"/>
    </row>
    <row r="6" spans="1:10" x14ac:dyDescent="0.2">
      <c r="A6" s="15" t="s">
        <v>26</v>
      </c>
      <c r="B6" s="16"/>
      <c r="C6" s="17"/>
      <c r="D6" s="18"/>
      <c r="E6" s="19"/>
      <c r="I6" s="20"/>
      <c r="J6" s="8"/>
    </row>
    <row r="7" spans="1:10" x14ac:dyDescent="0.2">
      <c r="A7" s="21"/>
      <c r="B7" s="22"/>
      <c r="C7" s="23" t="s">
        <v>0</v>
      </c>
      <c r="D7" s="24"/>
      <c r="E7" s="25">
        <v>12</v>
      </c>
      <c r="H7" s="26"/>
      <c r="J7" s="8"/>
    </row>
    <row r="8" spans="1:10" x14ac:dyDescent="0.2">
      <c r="A8" s="27" t="s">
        <v>129</v>
      </c>
      <c r="B8" s="28"/>
      <c r="C8" s="29" t="s">
        <v>1</v>
      </c>
      <c r="D8" s="30"/>
      <c r="E8" s="31">
        <v>12</v>
      </c>
      <c r="J8" s="8"/>
    </row>
    <row r="9" spans="1:10" x14ac:dyDescent="0.2">
      <c r="A9" s="32"/>
      <c r="B9" s="28"/>
      <c r="C9" s="29" t="s">
        <v>2</v>
      </c>
      <c r="D9" s="30"/>
      <c r="E9" s="31">
        <v>45</v>
      </c>
      <c r="J9" s="8"/>
    </row>
    <row r="10" spans="1:10" x14ac:dyDescent="0.2">
      <c r="A10" s="32"/>
      <c r="B10" s="28"/>
      <c r="C10" s="29" t="s">
        <v>112</v>
      </c>
      <c r="D10" s="30"/>
      <c r="E10" s="31">
        <v>3</v>
      </c>
      <c r="F10" s="127"/>
      <c r="J10" s="8"/>
    </row>
    <row r="11" spans="1:10" x14ac:dyDescent="0.2">
      <c r="A11" s="33"/>
      <c r="B11" s="28"/>
      <c r="C11" s="29" t="s">
        <v>113</v>
      </c>
      <c r="D11" s="30"/>
      <c r="E11" s="34">
        <v>0.4</v>
      </c>
      <c r="J11" s="8"/>
    </row>
    <row r="12" spans="1:10" x14ac:dyDescent="0.2">
      <c r="A12" s="33"/>
      <c r="B12" s="28"/>
      <c r="C12" s="97" t="s">
        <v>130</v>
      </c>
      <c r="D12" s="30"/>
      <c r="E12" s="34">
        <v>0.9</v>
      </c>
      <c r="J12" s="8"/>
    </row>
    <row r="13" spans="1:10" x14ac:dyDescent="0.2">
      <c r="A13" s="33"/>
      <c r="B13" s="28"/>
      <c r="C13" s="29" t="s">
        <v>106</v>
      </c>
      <c r="D13" s="30"/>
      <c r="E13" s="31">
        <v>0</v>
      </c>
      <c r="J13" s="8"/>
    </row>
    <row r="14" spans="1:10" x14ac:dyDescent="0.2">
      <c r="A14" s="33"/>
      <c r="B14" s="28"/>
      <c r="C14" s="29" t="s">
        <v>114</v>
      </c>
      <c r="D14" s="30"/>
      <c r="E14" s="146">
        <f>1.33*Vout</f>
        <v>15.96</v>
      </c>
      <c r="J14" s="8"/>
    </row>
    <row r="15" spans="1:10" x14ac:dyDescent="0.2">
      <c r="A15" s="35"/>
      <c r="B15" s="36"/>
      <c r="C15" s="37" t="s">
        <v>12</v>
      </c>
      <c r="D15" s="38"/>
      <c r="E15" s="147" t="str">
        <f>IF(Vinmin&lt;1.4*Vout,"YES","NO")</f>
        <v>YES</v>
      </c>
      <c r="J15" s="8"/>
    </row>
    <row r="16" spans="1:10" x14ac:dyDescent="0.2">
      <c r="A16" s="12"/>
      <c r="B16" s="13"/>
      <c r="C16" s="14"/>
      <c r="D16" s="13"/>
      <c r="J16" s="8"/>
    </row>
    <row r="17" spans="1:10" x14ac:dyDescent="0.2">
      <c r="A17" s="39"/>
      <c r="B17" s="40"/>
      <c r="C17" s="41" t="s">
        <v>115</v>
      </c>
      <c r="D17" s="42"/>
      <c r="E17" s="148" t="str">
        <f>IF(E15 = "NO", "LM5116", "LM5118")</f>
        <v>LM5118</v>
      </c>
      <c r="J17" s="8"/>
    </row>
    <row r="18" spans="1:10" x14ac:dyDescent="0.2">
      <c r="A18" s="12"/>
      <c r="B18" s="13"/>
      <c r="C18" s="14"/>
      <c r="D18" s="13"/>
      <c r="J18" s="8"/>
    </row>
    <row r="19" spans="1:10" x14ac:dyDescent="0.2">
      <c r="A19" s="15" t="s">
        <v>3</v>
      </c>
      <c r="B19" s="16"/>
      <c r="C19" s="17"/>
      <c r="D19" s="18"/>
      <c r="E19" s="19"/>
      <c r="J19" s="8"/>
    </row>
    <row r="20" spans="1:10" x14ac:dyDescent="0.2">
      <c r="A20" s="43"/>
      <c r="B20" s="44"/>
      <c r="C20" s="45" t="s">
        <v>97</v>
      </c>
      <c r="D20" s="46"/>
      <c r="E20" s="149">
        <f>IF(Fmax&lt;610,Fmax,500)</f>
        <v>500</v>
      </c>
      <c r="J20" s="8"/>
    </row>
    <row r="21" spans="1:10" x14ac:dyDescent="0.2">
      <c r="A21" s="140" t="str">
        <f>IF(E21&gt;=E20,"Violation of Minimum On-Time or Max Frequency","")</f>
        <v/>
      </c>
      <c r="B21" s="28"/>
      <c r="C21" s="29" t="s">
        <v>98</v>
      </c>
      <c r="D21" s="28"/>
      <c r="E21" s="47">
        <v>300</v>
      </c>
      <c r="J21" s="8"/>
    </row>
    <row r="22" spans="1:10" x14ac:dyDescent="0.2">
      <c r="A22" s="139" t="str">
        <f>IF(E21&gt;=E20,"Reduce Switching Frequency","")</f>
        <v/>
      </c>
      <c r="B22" s="36"/>
      <c r="C22" s="37" t="s">
        <v>105</v>
      </c>
      <c r="D22" s="38"/>
      <c r="E22" s="150">
        <f>6.4*10^3/Fsw-3.02</f>
        <v>18.313333333333333</v>
      </c>
      <c r="J22" s="8"/>
    </row>
    <row r="23" spans="1:10" x14ac:dyDescent="0.2">
      <c r="A23" s="141" t="str">
        <f>IF(Dviolate&lt;DMaximumAll,"Check Switching Frequency or Decrease Vin","")</f>
        <v/>
      </c>
      <c r="B23" s="13"/>
      <c r="C23" s="14"/>
      <c r="D23" s="13"/>
      <c r="E23" s="48"/>
      <c r="J23" s="8"/>
    </row>
    <row r="24" spans="1:10" x14ac:dyDescent="0.2">
      <c r="A24" s="58" t="s">
        <v>5</v>
      </c>
      <c r="B24" s="59"/>
      <c r="C24" s="60"/>
      <c r="D24" s="18"/>
      <c r="E24" s="19"/>
      <c r="J24" s="8"/>
    </row>
    <row r="25" spans="1:10" x14ac:dyDescent="0.2">
      <c r="A25" s="49"/>
      <c r="B25" s="50"/>
      <c r="C25" s="23" t="s">
        <v>102</v>
      </c>
      <c r="D25" s="63"/>
      <c r="E25" s="150">
        <f>IF(Vinmax&gt;E14,((Vout*(Vinmax-Vout))/(Vinmax*Fsw*(Ripple*Iout)))*1000,"NA")</f>
        <v>24.444444444444443</v>
      </c>
      <c r="J25" s="8"/>
    </row>
    <row r="26" spans="1:10" x14ac:dyDescent="0.2">
      <c r="A26" s="33"/>
      <c r="B26" s="51"/>
      <c r="C26" s="29" t="s">
        <v>103</v>
      </c>
      <c r="D26" s="30"/>
      <c r="E26" s="150">
        <f>IF(BuckBoostMode="YES",(((Vinmin)*Vout)/((Vinmin+Vout)*Fsw*Ripple*Iout))*1000,"NA")</f>
        <v>16.666666666666668</v>
      </c>
      <c r="J26" s="8"/>
    </row>
    <row r="27" spans="1:10" x14ac:dyDescent="0.2">
      <c r="A27" s="112"/>
      <c r="B27" s="28"/>
      <c r="C27" s="29" t="s">
        <v>104</v>
      </c>
      <c r="D27" s="30"/>
      <c r="E27" s="31">
        <v>22</v>
      </c>
      <c r="J27" s="8"/>
    </row>
    <row r="28" spans="1:10" x14ac:dyDescent="0.2">
      <c r="A28" s="52"/>
      <c r="B28" s="36"/>
      <c r="C28" s="99" t="s">
        <v>131</v>
      </c>
      <c r="D28" s="38"/>
      <c r="E28" s="56">
        <v>0.1</v>
      </c>
      <c r="J28" s="8"/>
    </row>
    <row r="29" spans="1:10" x14ac:dyDescent="0.2">
      <c r="A29" s="53"/>
      <c r="B29" s="13"/>
      <c r="C29" s="14"/>
      <c r="D29" s="13"/>
    </row>
    <row r="30" spans="1:10" x14ac:dyDescent="0.2">
      <c r="A30" s="15" t="s">
        <v>27</v>
      </c>
      <c r="B30" s="16"/>
      <c r="C30" s="17"/>
      <c r="D30" s="18"/>
      <c r="E30" s="19"/>
      <c r="J30" s="8"/>
    </row>
    <row r="31" spans="1:10" x14ac:dyDescent="0.2">
      <c r="A31" s="33"/>
      <c r="B31" s="28"/>
      <c r="C31" s="29" t="s">
        <v>107</v>
      </c>
      <c r="D31" s="28"/>
      <c r="E31" s="151">
        <f>IF(Vinmax&gt;E14,((Vout*(Vinmax-Vout))/(Vinmax*L*Fsw))*1000,"NA")</f>
        <v>1.3333333333333333</v>
      </c>
      <c r="F31" s="128"/>
      <c r="J31" s="8"/>
    </row>
    <row r="32" spans="1:10" x14ac:dyDescent="0.2">
      <c r="A32" s="33"/>
      <c r="B32" s="28"/>
      <c r="C32" s="29" t="s">
        <v>82</v>
      </c>
      <c r="D32" s="28"/>
      <c r="E32" s="152">
        <f>(Vout*Vinmin)/(Fsw*L*(Vout+Vinmin))*1000</f>
        <v>0.90909090909090906</v>
      </c>
      <c r="F32" s="128"/>
      <c r="J32" s="8"/>
    </row>
    <row r="33" spans="1:10" x14ac:dyDescent="0.2">
      <c r="A33" s="33"/>
      <c r="B33" s="28"/>
      <c r="C33" s="29" t="s">
        <v>81</v>
      </c>
      <c r="D33" s="28"/>
      <c r="E33" s="151">
        <f>IF(Vinmax&gt;=Vout,(Vout*Vout)/((Vout+Vout)*Fsw*L)*1000,"NA")</f>
        <v>0.90909090909090906</v>
      </c>
      <c r="F33" s="128"/>
      <c r="J33" s="8"/>
    </row>
    <row r="34" spans="1:10" x14ac:dyDescent="0.2">
      <c r="A34" s="33"/>
      <c r="B34" s="28"/>
      <c r="C34" s="97" t="s">
        <v>132</v>
      </c>
      <c r="D34" s="28"/>
      <c r="E34" s="151">
        <f>IrippleBuck/(1-L_tol)</f>
        <v>1.4814814814814814</v>
      </c>
      <c r="F34" s="128"/>
      <c r="J34" s="8"/>
    </row>
    <row r="35" spans="1:10" x14ac:dyDescent="0.2">
      <c r="A35" s="33"/>
      <c r="B35" s="28"/>
      <c r="C35" s="97" t="s">
        <v>133</v>
      </c>
      <c r="D35" s="28"/>
      <c r="E35" s="151">
        <f>IrippleBB/(1-L_tol)</f>
        <v>1.0101010101010099</v>
      </c>
      <c r="F35" s="128"/>
      <c r="J35" s="8"/>
    </row>
    <row r="36" spans="1:10" x14ac:dyDescent="0.2">
      <c r="A36" s="33"/>
      <c r="B36" s="28"/>
      <c r="C36" s="29" t="s">
        <v>176</v>
      </c>
      <c r="D36" s="28"/>
      <c r="E36" s="151">
        <f>Iout/Eff</f>
        <v>3.333333333333333</v>
      </c>
      <c r="F36" s="128"/>
      <c r="J36" s="8"/>
    </row>
    <row r="37" spans="1:10" x14ac:dyDescent="0.2">
      <c r="A37" s="33"/>
      <c r="B37" s="28"/>
      <c r="C37" s="29" t="s">
        <v>177</v>
      </c>
      <c r="D37" s="28"/>
      <c r="E37" s="151">
        <f>((Vout+Vinmin)/Vinmin)*(Iout/Eff)</f>
        <v>6.6666666666666661</v>
      </c>
      <c r="F37" s="128"/>
      <c r="J37" s="8"/>
    </row>
    <row r="38" spans="1:10" x14ac:dyDescent="0.2">
      <c r="A38" s="54"/>
      <c r="B38" s="28"/>
      <c r="C38" s="29" t="s">
        <v>83</v>
      </c>
      <c r="D38" s="30"/>
      <c r="E38" s="152">
        <f>IF(Vinmax&gt;E14,ILavgBuck+E34/2,"NA")</f>
        <v>4.0740740740740735</v>
      </c>
      <c r="F38" s="129"/>
      <c r="J38" s="8"/>
    </row>
    <row r="39" spans="1:10" x14ac:dyDescent="0.2">
      <c r="A39" s="35"/>
      <c r="B39" s="36"/>
      <c r="C39" s="37" t="s">
        <v>84</v>
      </c>
      <c r="D39" s="38"/>
      <c r="E39" s="152">
        <f>IF(BuckBoostMode="YES",ILavgBB+E35/2,"NA")</f>
        <v>7.1717171717171713</v>
      </c>
      <c r="F39" s="129" t="s">
        <v>8</v>
      </c>
      <c r="J39" s="8"/>
    </row>
    <row r="40" spans="1:10" x14ac:dyDescent="0.2">
      <c r="A40" s="53"/>
      <c r="B40" s="13"/>
      <c r="C40" s="14"/>
      <c r="D40" s="13"/>
      <c r="J40" s="8"/>
    </row>
    <row r="41" spans="1:10" x14ac:dyDescent="0.2">
      <c r="A41" s="15" t="s">
        <v>137</v>
      </c>
      <c r="B41" s="16"/>
      <c r="C41" s="17"/>
      <c r="D41" s="18"/>
      <c r="E41" s="19"/>
      <c r="F41" s="55"/>
      <c r="J41" s="8"/>
    </row>
    <row r="42" spans="1:10" x14ac:dyDescent="0.2">
      <c r="A42" s="49"/>
      <c r="B42" s="50"/>
      <c r="C42" s="23" t="s">
        <v>109</v>
      </c>
      <c r="D42" s="63"/>
      <c r="E42" s="56">
        <v>0.2</v>
      </c>
      <c r="F42" s="130"/>
      <c r="J42" s="8"/>
    </row>
    <row r="43" spans="1:10" x14ac:dyDescent="0.2">
      <c r="A43" s="33"/>
      <c r="B43" s="28"/>
      <c r="C43" s="97" t="s">
        <v>134</v>
      </c>
      <c r="D43" s="30"/>
      <c r="E43" s="152">
        <f>1+(10/(Vinmax-Vout))</f>
        <v>1.303030303030303</v>
      </c>
      <c r="F43" s="130"/>
      <c r="J43" s="8"/>
    </row>
    <row r="44" spans="1:10" x14ac:dyDescent="0.2">
      <c r="A44" s="33"/>
      <c r="B44" s="28"/>
      <c r="C44" s="97" t="s">
        <v>149</v>
      </c>
      <c r="D44" s="30"/>
      <c r="E44" s="125">
        <v>1.1599999999999999</v>
      </c>
      <c r="F44" s="130"/>
      <c r="J44" s="8"/>
    </row>
    <row r="45" spans="1:10" x14ac:dyDescent="0.2">
      <c r="A45" s="33"/>
      <c r="B45" s="28"/>
      <c r="C45" s="97" t="s">
        <v>135</v>
      </c>
      <c r="D45" s="30"/>
      <c r="E45" s="152">
        <f>1+(10/Vinmin)</f>
        <v>1.8333333333333335</v>
      </c>
      <c r="F45" s="130"/>
      <c r="J45" s="8"/>
    </row>
    <row r="46" spans="1:10" x14ac:dyDescent="0.2">
      <c r="A46" s="33"/>
      <c r="B46" s="28"/>
      <c r="C46" s="97" t="s">
        <v>150</v>
      </c>
      <c r="D46" s="30"/>
      <c r="E46" s="125">
        <v>3</v>
      </c>
      <c r="F46" s="130"/>
      <c r="J46" s="8"/>
    </row>
    <row r="47" spans="1:10" x14ac:dyDescent="0.2">
      <c r="A47" s="33"/>
      <c r="B47" s="28"/>
      <c r="C47" s="29" t="s">
        <v>85</v>
      </c>
      <c r="D47" s="30"/>
      <c r="E47" s="152">
        <f>IF((2.5*(1-E42))/(10*(ILavgBB+(IrippleBB*KBB)/2))*1000&lt;(1.25*(1-E42))/(10*(ILavgBuck+(IrippleBuck*KBuck)/2))*1000,(2.5*(1-E42))/(10*(ILavgBB+(IrippleBB*KBB)/2))*1000,(1.25*(1-E42))/(10*(ILavgBuck+(IrippleBuck*KBuck)/2))*1000)</f>
        <v>24.350649350649352</v>
      </c>
      <c r="F47" s="130" t="s">
        <v>8</v>
      </c>
      <c r="J47" s="8"/>
    </row>
    <row r="48" spans="1:10" x14ac:dyDescent="0.2">
      <c r="A48" s="35"/>
      <c r="B48" s="36"/>
      <c r="C48" s="37" t="s">
        <v>86</v>
      </c>
      <c r="D48" s="38"/>
      <c r="E48" s="57">
        <v>15</v>
      </c>
      <c r="F48" s="130"/>
      <c r="J48" s="8"/>
    </row>
    <row r="49" spans="1:10" x14ac:dyDescent="0.2">
      <c r="J49" s="8"/>
    </row>
    <row r="50" spans="1:10" x14ac:dyDescent="0.2">
      <c r="A50" s="58" t="s">
        <v>138</v>
      </c>
      <c r="B50" s="59"/>
      <c r="C50" s="60"/>
      <c r="D50" s="61"/>
      <c r="E50" s="19"/>
      <c r="J50" s="8"/>
    </row>
    <row r="51" spans="1:10" x14ac:dyDescent="0.2">
      <c r="A51" s="62"/>
      <c r="B51" s="50"/>
      <c r="C51" s="23" t="s">
        <v>4</v>
      </c>
      <c r="D51" s="63"/>
      <c r="E51" s="153">
        <f>(L*5*10^-6)/(10*Rs)*10^9</f>
        <v>733.33333333333326</v>
      </c>
      <c r="J51" s="8"/>
    </row>
    <row r="52" spans="1:10" x14ac:dyDescent="0.2">
      <c r="A52" s="113"/>
      <c r="B52" s="28"/>
      <c r="C52" s="114" t="s">
        <v>136</v>
      </c>
      <c r="D52" s="30"/>
      <c r="E52" s="213">
        <v>330</v>
      </c>
      <c r="J52" s="8"/>
    </row>
    <row r="53" spans="1:10" x14ac:dyDescent="0.2">
      <c r="A53" s="64"/>
      <c r="B53" s="36"/>
      <c r="C53" s="37" t="s">
        <v>94</v>
      </c>
      <c r="D53" s="38"/>
      <c r="E53" s="153" t="str">
        <f>IF(Vout&gt;20,7/(Vout*5*10^-6-50*10^-6)*10^-3,"NA")</f>
        <v>NA</v>
      </c>
    </row>
    <row r="55" spans="1:10" x14ac:dyDescent="0.2">
      <c r="A55" s="58" t="s">
        <v>139</v>
      </c>
    </row>
    <row r="56" spans="1:10" x14ac:dyDescent="0.2">
      <c r="A56" s="115"/>
      <c r="B56" s="116"/>
      <c r="C56" s="117" t="s">
        <v>140</v>
      </c>
      <c r="D56" s="118"/>
      <c r="E56" s="151">
        <f>IF(ILPeakLimitBuck&lt;IpeakBuck,"Error",ILPeakLimitBuck)</f>
        <v>7.4354657687991024</v>
      </c>
    </row>
    <row r="57" spans="1:10" x14ac:dyDescent="0.2">
      <c r="A57" s="119"/>
      <c r="B57" s="120"/>
      <c r="C57" s="121" t="s">
        <v>141</v>
      </c>
      <c r="D57" s="122"/>
      <c r="E57" s="154">
        <f>IF(ILPeakLimitBB&lt;IpeakBB,"Error",ILPeakLimitBB)</f>
        <v>14.983164983164983</v>
      </c>
    </row>
    <row r="58" spans="1:10" x14ac:dyDescent="0.2">
      <c r="C58" s="10"/>
    </row>
    <row r="59" spans="1:10" x14ac:dyDescent="0.2">
      <c r="A59" s="65" t="s">
        <v>95</v>
      </c>
      <c r="B59" s="66"/>
      <c r="C59" s="67"/>
      <c r="D59" s="67"/>
    </row>
    <row r="60" spans="1:10" x14ac:dyDescent="0.2">
      <c r="A60" s="69"/>
      <c r="B60" s="44"/>
      <c r="C60" s="45" t="s">
        <v>76</v>
      </c>
      <c r="D60" s="70"/>
      <c r="E60" s="47">
        <v>50</v>
      </c>
    </row>
    <row r="61" spans="1:10" x14ac:dyDescent="0.2">
      <c r="A61" s="69"/>
      <c r="B61" s="44"/>
      <c r="C61" s="45" t="s">
        <v>110</v>
      </c>
      <c r="D61" s="68"/>
      <c r="E61" s="155">
        <f>Vout/(Vinmin+Vout)</f>
        <v>0.5</v>
      </c>
    </row>
    <row r="62" spans="1:10" x14ac:dyDescent="0.2">
      <c r="A62" s="71"/>
      <c r="B62" s="44"/>
      <c r="C62" s="45" t="s">
        <v>87</v>
      </c>
      <c r="D62" s="68"/>
      <c r="E62" s="152">
        <f>SQRT(-(DBB*Iout^2)/(DBB-1))</f>
        <v>3</v>
      </c>
    </row>
    <row r="63" spans="1:10" x14ac:dyDescent="0.2">
      <c r="A63" s="71"/>
      <c r="B63" s="44"/>
      <c r="C63" s="45" t="s">
        <v>108</v>
      </c>
      <c r="D63" s="70"/>
      <c r="E63" s="152">
        <f>Iout*Vout/(Vinmin+Vout)/(Fsw*DeltaVout)*1000000</f>
        <v>100</v>
      </c>
    </row>
    <row r="64" spans="1:10" x14ac:dyDescent="0.2">
      <c r="A64" s="71"/>
      <c r="B64" s="44"/>
      <c r="C64" s="45" t="s">
        <v>91</v>
      </c>
      <c r="D64" s="70"/>
      <c r="E64" s="152">
        <f>DeltaVout/(Iout/(1-E61)+IrippleBB/2)</f>
        <v>7.746478873239437</v>
      </c>
    </row>
    <row r="65" spans="1:8" x14ac:dyDescent="0.2">
      <c r="A65" s="44"/>
      <c r="B65" s="44"/>
      <c r="C65" s="45" t="s">
        <v>99</v>
      </c>
      <c r="D65" s="70"/>
      <c r="E65" s="47">
        <v>120</v>
      </c>
    </row>
    <row r="66" spans="1:8" x14ac:dyDescent="0.2">
      <c r="A66" s="44"/>
      <c r="B66" s="44"/>
      <c r="C66" s="45" t="s">
        <v>166</v>
      </c>
      <c r="D66" s="75"/>
      <c r="E66" s="138">
        <v>4.5999999999999996</v>
      </c>
    </row>
    <row r="67" spans="1:8" x14ac:dyDescent="0.2">
      <c r="A67" s="72"/>
      <c r="B67" s="72"/>
      <c r="C67" s="73" t="s">
        <v>11</v>
      </c>
      <c r="D67" s="74"/>
      <c r="E67" s="156">
        <f>IF(Vinmax&lt;BuckMode,"NA",Coutesr*((Iout/(1-E61)+(IrippleBB/2))))</f>
        <v>29.690909090909088</v>
      </c>
    </row>
    <row r="69" spans="1:8" x14ac:dyDescent="0.2">
      <c r="A69" s="15" t="s">
        <v>96</v>
      </c>
      <c r="B69" s="16"/>
      <c r="C69" s="17"/>
      <c r="D69" s="18"/>
      <c r="E69" s="19"/>
    </row>
    <row r="70" spans="1:8" x14ac:dyDescent="0.2">
      <c r="A70" s="43"/>
      <c r="B70" s="44"/>
      <c r="C70" s="45" t="s">
        <v>59</v>
      </c>
      <c r="D70" s="75"/>
      <c r="E70" s="152">
        <f>(Iout/(1-DBB))*SQRT(DBB*(1-DBB))</f>
        <v>3</v>
      </c>
    </row>
    <row r="71" spans="1:8" x14ac:dyDescent="0.2">
      <c r="A71" s="43"/>
      <c r="B71" s="44"/>
      <c r="C71" s="45" t="s">
        <v>60</v>
      </c>
      <c r="D71" s="75"/>
      <c r="E71" s="152">
        <f>IpeakBB</f>
        <v>7.1717171717171713</v>
      </c>
    </row>
    <row r="72" spans="1:8" x14ac:dyDescent="0.2">
      <c r="A72" s="43"/>
      <c r="B72" s="44"/>
      <c r="C72" s="45" t="s">
        <v>61</v>
      </c>
      <c r="D72" s="75"/>
      <c r="E72" s="157">
        <f>IF(Vinmax&lt;BuckMode,"NA",Iout*0.5)</f>
        <v>1.5</v>
      </c>
    </row>
    <row r="73" spans="1:8" x14ac:dyDescent="0.2">
      <c r="A73" s="43"/>
      <c r="B73" s="44"/>
      <c r="C73" s="45" t="s">
        <v>62</v>
      </c>
      <c r="D73" s="75"/>
      <c r="E73" s="157">
        <f>IpeakBuck</f>
        <v>4.0740740740740735</v>
      </c>
      <c r="G73" s="109"/>
    </row>
    <row r="74" spans="1:8" x14ac:dyDescent="0.2">
      <c r="A74" s="43"/>
      <c r="B74" s="44"/>
      <c r="C74" s="45" t="s">
        <v>128</v>
      </c>
      <c r="D74" s="75"/>
      <c r="E74" s="157">
        <f>E39/2/Fsw*1000</f>
        <v>11.952861952861953</v>
      </c>
    </row>
    <row r="75" spans="1:8" x14ac:dyDescent="0.2">
      <c r="A75" s="76"/>
      <c r="B75" s="76"/>
      <c r="C75" s="73" t="s">
        <v>100</v>
      </c>
      <c r="D75" s="77"/>
      <c r="E75" s="98">
        <v>28</v>
      </c>
    </row>
    <row r="76" spans="1:8" x14ac:dyDescent="0.2">
      <c r="H76" s="111"/>
    </row>
    <row r="77" spans="1:8" x14ac:dyDescent="0.2">
      <c r="A77" s="65" t="s">
        <v>167</v>
      </c>
      <c r="B77" s="78"/>
      <c r="C77" s="79"/>
      <c r="D77" s="78"/>
      <c r="E77" s="19"/>
    </row>
    <row r="78" spans="1:8" x14ac:dyDescent="0.2">
      <c r="A78" s="80"/>
      <c r="B78" s="81"/>
      <c r="C78" s="114" t="s">
        <v>89</v>
      </c>
      <c r="D78" s="82"/>
      <c r="E78" s="108">
        <v>2670</v>
      </c>
    </row>
    <row r="79" spans="1:8" x14ac:dyDescent="0.2">
      <c r="A79" s="83"/>
      <c r="B79" s="76"/>
      <c r="C79" s="121" t="s">
        <v>88</v>
      </c>
      <c r="D79" s="84"/>
      <c r="E79" s="158">
        <f>_Rfb2/((Vout/1.23)-1)</f>
        <v>304.93036211699166</v>
      </c>
    </row>
    <row r="80" spans="1:8" x14ac:dyDescent="0.2">
      <c r="A80" s="85"/>
      <c r="C80" s="14"/>
      <c r="D80" s="55"/>
      <c r="E80" s="86"/>
    </row>
    <row r="81" spans="1:7" x14ac:dyDescent="0.2">
      <c r="A81" s="87" t="s">
        <v>168</v>
      </c>
      <c r="C81" s="14"/>
      <c r="D81" s="55"/>
      <c r="E81" s="88"/>
    </row>
    <row r="82" spans="1:7" x14ac:dyDescent="0.2">
      <c r="A82" s="89"/>
      <c r="B82" s="22"/>
      <c r="C82" s="23" t="s">
        <v>116</v>
      </c>
      <c r="D82" s="90"/>
      <c r="E82" s="125">
        <v>50</v>
      </c>
    </row>
    <row r="83" spans="1:7" x14ac:dyDescent="0.2">
      <c r="A83" s="80"/>
      <c r="B83" s="81"/>
      <c r="C83" s="29" t="s">
        <v>117</v>
      </c>
      <c r="D83" s="82"/>
      <c r="E83" s="152">
        <f>E82*10^-3/(0.05*7)</f>
        <v>0.14285714285714285</v>
      </c>
      <c r="G83" s="91"/>
    </row>
    <row r="84" spans="1:7" x14ac:dyDescent="0.2">
      <c r="A84" s="80"/>
      <c r="B84" s="81"/>
      <c r="C84" s="29" t="s">
        <v>101</v>
      </c>
      <c r="D84" s="82"/>
      <c r="E84" s="47">
        <v>0.1</v>
      </c>
    </row>
    <row r="85" spans="1:7" x14ac:dyDescent="0.2">
      <c r="A85" s="92"/>
      <c r="B85" s="76"/>
      <c r="C85" s="37" t="s">
        <v>118</v>
      </c>
      <c r="D85" s="93"/>
      <c r="E85" s="159">
        <f>10*E84</f>
        <v>1</v>
      </c>
    </row>
    <row r="86" spans="1:7" x14ac:dyDescent="0.2">
      <c r="C86" s="14"/>
      <c r="D86" s="55"/>
      <c r="E86" s="104"/>
    </row>
    <row r="87" spans="1:7" x14ac:dyDescent="0.2">
      <c r="A87" s="65" t="s">
        <v>169</v>
      </c>
      <c r="B87" s="78"/>
      <c r="C87" s="79"/>
      <c r="D87" s="78"/>
      <c r="E87" s="19"/>
    </row>
    <row r="88" spans="1:7" x14ac:dyDescent="0.2">
      <c r="A88" s="94"/>
      <c r="B88" s="81"/>
      <c r="C88" s="29" t="s">
        <v>7</v>
      </c>
      <c r="D88" s="51"/>
      <c r="E88" s="160">
        <f>((Rout*(1-DBB)^2)/(2*PI()*L*DBB*10^-6))/1000</f>
        <v>14.468631190172303</v>
      </c>
    </row>
    <row r="89" spans="1:7" x14ac:dyDescent="0.2">
      <c r="A89" s="94"/>
      <c r="B89" s="81"/>
      <c r="C89" s="97" t="s">
        <v>142</v>
      </c>
      <c r="D89" s="51"/>
      <c r="E89" s="152">
        <f>1/(Cout*Coutesr*2*PI()*10^-6)</f>
        <v>288.32417226792637</v>
      </c>
    </row>
    <row r="90" spans="1:7" x14ac:dyDescent="0.2">
      <c r="A90" s="94"/>
      <c r="B90" s="81"/>
      <c r="C90" s="97" t="s">
        <v>143</v>
      </c>
      <c r="D90" s="51"/>
      <c r="E90" s="160">
        <f>(1+DBB)/(2*PI()*Cout*Rout*10^-3)</f>
        <v>0.49735919716217297</v>
      </c>
    </row>
    <row r="91" spans="1:7" x14ac:dyDescent="0.2">
      <c r="A91" s="94"/>
      <c r="B91" s="81"/>
      <c r="C91" s="29" t="s">
        <v>6</v>
      </c>
      <c r="D91" s="51"/>
      <c r="E91" s="152">
        <f>fmodRzero/4</f>
        <v>3.6171577975430758</v>
      </c>
    </row>
    <row r="92" spans="1:7" x14ac:dyDescent="0.2">
      <c r="A92" s="94"/>
      <c r="B92" s="81"/>
      <c r="C92" s="29" t="s">
        <v>165</v>
      </c>
      <c r="D92" s="51"/>
      <c r="E92" s="125">
        <v>1.95</v>
      </c>
    </row>
    <row r="93" spans="1:7" x14ac:dyDescent="0.2">
      <c r="A93" s="94"/>
      <c r="B93" s="81"/>
      <c r="C93" s="29" t="s">
        <v>172</v>
      </c>
      <c r="D93" s="51"/>
      <c r="E93" s="160">
        <f>fcutoff/10</f>
        <v>0.19500000000000001</v>
      </c>
    </row>
    <row r="94" spans="1:7" x14ac:dyDescent="0.2">
      <c r="A94" s="94"/>
      <c r="B94" s="81"/>
      <c r="C94" s="29" t="s">
        <v>173</v>
      </c>
      <c r="D94" s="51"/>
      <c r="E94" s="160">
        <f>fmodRzero</f>
        <v>14.468631190172303</v>
      </c>
    </row>
    <row r="95" spans="1:7" x14ac:dyDescent="0.2">
      <c r="A95" s="80"/>
      <c r="B95" s="81"/>
      <c r="C95" s="97" t="s">
        <v>9</v>
      </c>
      <c r="D95" s="51"/>
      <c r="E95" s="161">
        <f>fcompZero/(fcompPole*_Rfb2*CompGain)*10^9</f>
        <v>9.1005902833825694</v>
      </c>
    </row>
    <row r="96" spans="1:7" x14ac:dyDescent="0.2">
      <c r="A96" s="80"/>
      <c r="B96" s="81"/>
      <c r="C96" s="124" t="s">
        <v>147</v>
      </c>
      <c r="D96" s="51"/>
      <c r="E96" s="126">
        <v>9</v>
      </c>
    </row>
    <row r="97" spans="1:7" x14ac:dyDescent="0.2">
      <c r="A97" s="81"/>
      <c r="B97" s="81"/>
      <c r="C97" s="97" t="s">
        <v>10</v>
      </c>
      <c r="D97" s="51"/>
      <c r="E97" s="162">
        <f>((1/(CompGain*_Rfb2))-E95*10^-9)*10^9</f>
        <v>666.1459965018895</v>
      </c>
      <c r="G97" s="9" t="s">
        <v>8</v>
      </c>
    </row>
    <row r="98" spans="1:7" x14ac:dyDescent="0.2">
      <c r="A98" s="81"/>
      <c r="B98" s="81"/>
      <c r="C98" s="114" t="s">
        <v>148</v>
      </c>
      <c r="D98" s="51"/>
      <c r="E98" s="214">
        <v>310</v>
      </c>
    </row>
    <row r="99" spans="1:7" x14ac:dyDescent="0.2">
      <c r="A99" s="81"/>
      <c r="B99" s="81"/>
      <c r="C99" s="29" t="s">
        <v>90</v>
      </c>
      <c r="D99" s="51"/>
      <c r="E99" s="163">
        <f>1/(fcompZero*2*3.14*E97*10^-9)</f>
        <v>1225.8471529803078</v>
      </c>
    </row>
    <row r="100" spans="1:7" x14ac:dyDescent="0.2">
      <c r="A100" s="76"/>
      <c r="B100" s="76"/>
      <c r="C100" s="121" t="s">
        <v>146</v>
      </c>
      <c r="D100" s="84"/>
      <c r="E100" s="215">
        <v>2600</v>
      </c>
    </row>
    <row r="101" spans="1:7" x14ac:dyDescent="0.2">
      <c r="C101" s="55"/>
      <c r="D101" s="55"/>
      <c r="E101" s="110"/>
    </row>
    <row r="102" spans="1:7" x14ac:dyDescent="0.2">
      <c r="A102" s="85" t="s">
        <v>170</v>
      </c>
      <c r="C102" s="55"/>
      <c r="D102" s="55"/>
      <c r="E102" s="104"/>
    </row>
    <row r="103" spans="1:7" x14ac:dyDescent="0.2">
      <c r="A103" s="95"/>
      <c r="B103" s="22"/>
      <c r="C103" s="23" t="s">
        <v>119</v>
      </c>
      <c r="D103" s="96"/>
      <c r="E103" s="47">
        <v>12</v>
      </c>
    </row>
    <row r="104" spans="1:7" x14ac:dyDescent="0.2">
      <c r="A104" s="92"/>
      <c r="B104" s="76"/>
      <c r="C104" s="37" t="s">
        <v>127</v>
      </c>
      <c r="D104" s="84"/>
      <c r="E104" s="164">
        <f>(E103*10^(-5))/1.23*10^6</f>
        <v>97.560975609756113</v>
      </c>
    </row>
    <row r="105" spans="1:7" x14ac:dyDescent="0.2">
      <c r="C105" s="55"/>
      <c r="D105" s="55"/>
      <c r="E105" s="110"/>
    </row>
    <row r="106" spans="1:7" x14ac:dyDescent="0.2">
      <c r="A106" s="65" t="s">
        <v>171</v>
      </c>
      <c r="B106" s="78"/>
      <c r="C106" s="79"/>
      <c r="D106" s="78"/>
      <c r="E106" s="19"/>
    </row>
    <row r="107" spans="1:7" x14ac:dyDescent="0.2">
      <c r="A107" s="80"/>
      <c r="B107" s="81"/>
      <c r="C107" s="97" t="s">
        <v>124</v>
      </c>
      <c r="D107" s="81"/>
      <c r="E107" s="165">
        <f>Vinmax</f>
        <v>45</v>
      </c>
    </row>
    <row r="108" spans="1:7" x14ac:dyDescent="0.2">
      <c r="A108" s="80"/>
      <c r="B108" s="81"/>
      <c r="C108" s="97" t="s">
        <v>125</v>
      </c>
      <c r="D108" s="81"/>
      <c r="E108" s="98">
        <v>75</v>
      </c>
    </row>
    <row r="109" spans="1:7" x14ac:dyDescent="0.2">
      <c r="A109" s="80"/>
      <c r="B109" s="81"/>
      <c r="C109" s="97" t="s">
        <v>120</v>
      </c>
      <c r="D109" s="81"/>
      <c r="E109" s="98">
        <v>4</v>
      </c>
    </row>
    <row r="110" spans="1:7" x14ac:dyDescent="0.2">
      <c r="A110" s="80"/>
      <c r="B110" s="81"/>
      <c r="C110" s="97" t="s">
        <v>126</v>
      </c>
      <c r="D110" s="81"/>
      <c r="E110" s="151">
        <f>1.23*E108/(E109+5*E108*10^(-3)-1.23)</f>
        <v>29.332273449920507</v>
      </c>
    </row>
    <row r="111" spans="1:7" x14ac:dyDescent="0.2">
      <c r="A111" s="80"/>
      <c r="B111" s="81"/>
      <c r="C111" s="97" t="s">
        <v>111</v>
      </c>
      <c r="D111" s="81"/>
      <c r="E111" s="98">
        <v>723</v>
      </c>
    </row>
    <row r="112" spans="1:7" x14ac:dyDescent="0.2">
      <c r="A112" s="80"/>
      <c r="B112" s="81"/>
      <c r="C112" s="97" t="s">
        <v>121</v>
      </c>
      <c r="D112" s="81"/>
      <c r="E112" s="98">
        <v>12</v>
      </c>
    </row>
    <row r="113" spans="1:5" x14ac:dyDescent="0.2">
      <c r="A113" s="92"/>
      <c r="B113" s="76"/>
      <c r="C113" s="99" t="s">
        <v>178</v>
      </c>
      <c r="D113" s="77"/>
      <c r="E113" s="151">
        <f>-(E111*(E110+E108))/(E110*E108*LN(1-((0.98*(E110+E108))/(E110*E112))))</f>
        <v>99.917863427169848</v>
      </c>
    </row>
    <row r="115" spans="1:5" x14ac:dyDescent="0.2">
      <c r="A115" s="100"/>
      <c r="B115" s="100"/>
      <c r="C115" s="10"/>
    </row>
    <row r="116" spans="1:5" x14ac:dyDescent="0.2">
      <c r="A116" s="100"/>
      <c r="B116" s="100"/>
      <c r="C116" s="10"/>
    </row>
    <row r="117" spans="1:5" x14ac:dyDescent="0.2">
      <c r="A117" s="101"/>
      <c r="B117" s="100"/>
      <c r="C117" s="102"/>
    </row>
  </sheetData>
  <sheetProtection password="E1A4" sheet="1"/>
  <customSheetViews>
    <customSheetView guid="{1DD99649-EE33-4BDE-A4D6-89083858C8DF}" showPageBreaks="1" showGridLines="0" fitToPage="1" printArea="1">
      <selection activeCell="L15" sqref="L15"/>
      <pageMargins left="0.5" right="0.5" top="1" bottom="1" header="0.5" footer="0.5"/>
      <pageSetup paperSize="17" scale="76" orientation="portrait" r:id="rId1"/>
      <headerFooter alignWithMargins="0"/>
    </customSheetView>
    <customSheetView guid="{7663E1A9-6243-4C84-AC6E-7B523F6FB71A}" showGridLines="0" fitToPage="1">
      <selection activeCell="J91" sqref="J91"/>
      <pageMargins left="0.5" right="0.5" top="1" bottom="1" header="0.5" footer="0.5"/>
      <pageSetup paperSize="17" scale="76" orientation="portrait" r:id="rId2"/>
      <headerFooter alignWithMargins="0"/>
    </customSheetView>
  </customSheetViews>
  <phoneticPr fontId="4" type="noConversion"/>
  <conditionalFormatting sqref="E21">
    <cfRule type="cellIs" dxfId="0" priority="2" stopIfTrue="1" operator="greaterThanOrEqual">
      <formula>$E$20</formula>
    </cfRule>
  </conditionalFormatting>
  <dataValidations count="2">
    <dataValidation type="decimal" operator="lessThanOrEqual" allowBlank="1" showErrorMessage="1" errorTitle="Out of Range Switching Frequency" error="The Switching Frequency should not exceed 700KHz" sqref="E21" xr:uid="{00000000-0002-0000-0000-000000000000}">
      <formula1>700</formula1>
    </dataValidation>
    <dataValidation type="decimal" operator="lessThanOrEqual" allowBlank="1" showErrorMessage="1" errorTitle="Input out of range" error="Vin(max) must not exceed 75V" sqref="E9" xr:uid="{00000000-0002-0000-0000-000001000000}">
      <formula1>75</formula1>
    </dataValidation>
  </dataValidations>
  <pageMargins left="0.5" right="0.5" top="1" bottom="1" header="0.5" footer="0.5"/>
  <pageSetup paperSize="17" scale="76" orientation="portrait" r:id="rId3"/>
  <headerFooter alignWithMargins="0"/>
  <drawing r:id="rId4"/>
  <legacyDrawing r:id="rId5"/>
  <oleObjects>
    <mc:AlternateContent xmlns:mc="http://schemas.openxmlformats.org/markup-compatibility/2006">
      <mc:Choice Requires="x14">
        <oleObject progId="Visio.Drawing.6" shapeId="1085" r:id="rId6">
          <objectPr defaultSize="0" autoPict="0" r:id="rId7">
            <anchor moveWithCells="1">
              <from>
                <xdr:col>6</xdr:col>
                <xdr:colOff>19050</xdr:colOff>
                <xdr:row>41</xdr:row>
                <xdr:rowOff>38100</xdr:rowOff>
              </from>
              <to>
                <xdr:col>13</xdr:col>
                <xdr:colOff>295275</xdr:colOff>
                <xdr:row>71</xdr:row>
                <xdr:rowOff>57150</xdr:rowOff>
              </to>
            </anchor>
          </objectPr>
        </oleObject>
      </mc:Choice>
      <mc:Fallback>
        <oleObject progId="Visio.Drawing.6" shapeId="1085" r:id="rId6"/>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G21"/>
  <sheetViews>
    <sheetView workbookViewId="0">
      <selection activeCell="B1" sqref="B1"/>
    </sheetView>
  </sheetViews>
  <sheetFormatPr defaultRowHeight="12.75" x14ac:dyDescent="0.2"/>
  <cols>
    <col min="1" max="1" width="3.5703125" customWidth="1"/>
    <col min="2" max="2" width="17" customWidth="1"/>
    <col min="3" max="3" width="27" style="2" customWidth="1"/>
    <col min="4" max="4" width="19.85546875" style="2" customWidth="1"/>
    <col min="5" max="5" width="24.42578125" bestFit="1" customWidth="1"/>
    <col min="6" max="6" width="27.28515625" bestFit="1" customWidth="1"/>
    <col min="7" max="7" width="3.140625" customWidth="1"/>
  </cols>
  <sheetData>
    <row r="1" spans="2:7" x14ac:dyDescent="0.2">
      <c r="B1" s="6" t="s">
        <v>25</v>
      </c>
      <c r="C1" s="6"/>
      <c r="D1" s="6"/>
    </row>
    <row r="2" spans="2:7" ht="13.5" thickBot="1" x14ac:dyDescent="0.25"/>
    <row r="3" spans="2:7" x14ac:dyDescent="0.2">
      <c r="B3" s="105" t="s">
        <v>19</v>
      </c>
      <c r="C3" s="106" t="s">
        <v>20</v>
      </c>
      <c r="D3" s="107" t="s">
        <v>21</v>
      </c>
      <c r="E3" s="142" t="s">
        <v>175</v>
      </c>
    </row>
    <row r="4" spans="2:7" x14ac:dyDescent="0.2">
      <c r="B4" s="166" t="s">
        <v>14</v>
      </c>
      <c r="C4" s="167" t="s">
        <v>43</v>
      </c>
      <c r="D4" s="168">
        <f>L</f>
        <v>22</v>
      </c>
      <c r="E4" s="169">
        <f>ILPeakLimitBB</f>
        <v>14.983164983164983</v>
      </c>
    </row>
    <row r="5" spans="2:7" x14ac:dyDescent="0.2">
      <c r="B5" s="166" t="s">
        <v>28</v>
      </c>
      <c r="C5" s="167" t="s">
        <v>29</v>
      </c>
      <c r="D5" s="170">
        <f>Cin</f>
        <v>28</v>
      </c>
      <c r="E5" s="171">
        <f>Vinmax</f>
        <v>45</v>
      </c>
      <c r="F5" s="6"/>
      <c r="G5" s="6"/>
    </row>
    <row r="6" spans="2:7" x14ac:dyDescent="0.2">
      <c r="B6" s="166" t="s">
        <v>22</v>
      </c>
      <c r="C6" s="167" t="s">
        <v>30</v>
      </c>
      <c r="D6" s="172">
        <f>Cramp</f>
        <v>330</v>
      </c>
      <c r="E6" s="171">
        <v>16</v>
      </c>
    </row>
    <row r="7" spans="2:7" x14ac:dyDescent="0.2">
      <c r="B7" s="166" t="s">
        <v>31</v>
      </c>
      <c r="C7" s="167" t="s">
        <v>32</v>
      </c>
      <c r="D7" s="173">
        <f>Css</f>
        <v>97.560975609756113</v>
      </c>
      <c r="E7" s="171">
        <v>6</v>
      </c>
    </row>
    <row r="8" spans="2:7" x14ac:dyDescent="0.2">
      <c r="B8" s="166" t="s">
        <v>13</v>
      </c>
      <c r="C8" s="167" t="s">
        <v>33</v>
      </c>
      <c r="D8" s="174">
        <f>Cout</f>
        <v>120</v>
      </c>
      <c r="E8" s="171">
        <f>Vout</f>
        <v>12</v>
      </c>
    </row>
    <row r="9" spans="2:7" x14ac:dyDescent="0.2">
      <c r="B9" s="166" t="s">
        <v>80</v>
      </c>
      <c r="C9" s="167" t="s">
        <v>34</v>
      </c>
      <c r="D9" s="175">
        <f>Cr</f>
        <v>99.917863427169848</v>
      </c>
      <c r="E9" s="171">
        <v>16</v>
      </c>
    </row>
    <row r="10" spans="2:7" x14ac:dyDescent="0.2">
      <c r="B10" s="166" t="s">
        <v>57</v>
      </c>
      <c r="C10" s="167" t="s">
        <v>35</v>
      </c>
      <c r="D10" s="173">
        <f>Cpole</f>
        <v>9</v>
      </c>
      <c r="E10" s="171">
        <v>6</v>
      </c>
    </row>
    <row r="11" spans="2:7" x14ac:dyDescent="0.2">
      <c r="B11" s="166" t="s">
        <v>58</v>
      </c>
      <c r="C11" s="167" t="s">
        <v>35</v>
      </c>
      <c r="D11" s="173">
        <f>Czero</f>
        <v>310</v>
      </c>
      <c r="E11" s="171">
        <v>6</v>
      </c>
    </row>
    <row r="12" spans="2:7" x14ac:dyDescent="0.2">
      <c r="B12" s="166" t="s">
        <v>36</v>
      </c>
      <c r="C12" s="167" t="s">
        <v>37</v>
      </c>
      <c r="D12" s="176">
        <f>Cvcc</f>
        <v>1</v>
      </c>
      <c r="E12" s="171">
        <v>12</v>
      </c>
    </row>
    <row r="13" spans="2:7" x14ac:dyDescent="0.2">
      <c r="B13" s="166" t="s">
        <v>38</v>
      </c>
      <c r="C13" s="167" t="s">
        <v>39</v>
      </c>
      <c r="D13" s="175">
        <f>Chb</f>
        <v>0.1</v>
      </c>
      <c r="E13" s="171">
        <f>MAX(Vccx,VCC)</f>
        <v>7</v>
      </c>
    </row>
    <row r="14" spans="2:7" x14ac:dyDescent="0.2">
      <c r="B14" s="166" t="s">
        <v>23</v>
      </c>
      <c r="C14" s="167" t="s">
        <v>40</v>
      </c>
      <c r="D14" s="177">
        <f>_Rfb1</f>
        <v>304.93036211699166</v>
      </c>
      <c r="E14" s="178" t="s">
        <v>77</v>
      </c>
    </row>
    <row r="15" spans="2:7" x14ac:dyDescent="0.2">
      <c r="B15" s="166" t="s">
        <v>41</v>
      </c>
      <c r="C15" s="167" t="s">
        <v>40</v>
      </c>
      <c r="D15" s="177">
        <f>_Rfb2</f>
        <v>2670</v>
      </c>
      <c r="E15" s="178" t="s">
        <v>77</v>
      </c>
    </row>
    <row r="16" spans="2:7" x14ac:dyDescent="0.2">
      <c r="B16" s="166" t="s">
        <v>122</v>
      </c>
      <c r="C16" s="167" t="s">
        <v>42</v>
      </c>
      <c r="D16" s="179">
        <f>_Ruv1</f>
        <v>75</v>
      </c>
      <c r="E16" s="178" t="str">
        <f>IF(AND(Vinmax^2/(_Ruv2*1000)&lt;0.05,Vinmax&lt;=50),"1/16W","1/8W")</f>
        <v>1/8W</v>
      </c>
    </row>
    <row r="17" spans="2:5" x14ac:dyDescent="0.2">
      <c r="B17" s="166" t="s">
        <v>123</v>
      </c>
      <c r="C17" s="167" t="s">
        <v>42</v>
      </c>
      <c r="D17" s="179">
        <f>_Ruv2</f>
        <v>29.332273449920507</v>
      </c>
      <c r="E17" s="178" t="s">
        <v>77</v>
      </c>
    </row>
    <row r="18" spans="2:5" x14ac:dyDescent="0.2">
      <c r="B18" s="166" t="s">
        <v>24</v>
      </c>
      <c r="C18" s="167" t="s">
        <v>78</v>
      </c>
      <c r="D18" s="180">
        <f>Rs</f>
        <v>15</v>
      </c>
      <c r="E18" s="181">
        <f>IF(PRS_BB&gt;PRS_B,PRS_BB,PRS_B)</f>
        <v>0.66666666666666652</v>
      </c>
    </row>
    <row r="19" spans="2:5" x14ac:dyDescent="0.2">
      <c r="B19" s="166" t="s">
        <v>15</v>
      </c>
      <c r="C19" s="167" t="s">
        <v>79</v>
      </c>
      <c r="D19" s="182">
        <f>Rt</f>
        <v>18.313333333333333</v>
      </c>
      <c r="E19" s="178" t="s">
        <v>77</v>
      </c>
    </row>
    <row r="20" spans="2:5" x14ac:dyDescent="0.2">
      <c r="B20" s="166" t="s">
        <v>44</v>
      </c>
      <c r="C20" s="167" t="s">
        <v>45</v>
      </c>
      <c r="D20" s="179" t="str">
        <f>Rramp</f>
        <v>NA</v>
      </c>
      <c r="E20" s="181" t="str">
        <f>IF(D20="NA","-","1/16 W")</f>
        <v>-</v>
      </c>
    </row>
    <row r="21" spans="2:5" ht="13.5" thickBot="1" x14ac:dyDescent="0.25">
      <c r="B21" s="183" t="s">
        <v>46</v>
      </c>
      <c r="C21" s="184" t="s">
        <v>47</v>
      </c>
      <c r="D21" s="185">
        <f>Rcomp/1000</f>
        <v>2.6</v>
      </c>
      <c r="E21" s="186" t="s">
        <v>77</v>
      </c>
    </row>
  </sheetData>
  <sheetProtection password="E1A4" sheet="1"/>
  <customSheetViews>
    <customSheetView guid="{1DD99649-EE33-4BDE-A4D6-89083858C8DF}">
      <selection activeCell="B1" activeCellId="1" sqref="D21 B1:E21"/>
      <pageMargins left="0.75" right="0.75" top="1" bottom="1" header="0.5" footer="0.5"/>
      <pageSetup orientation="portrait" r:id="rId1"/>
      <headerFooter alignWithMargins="0"/>
    </customSheetView>
    <customSheetView guid="{7663E1A9-6243-4C84-AC6E-7B523F6FB71A}">
      <selection activeCell="B1" activeCellId="1" sqref="D21 B1:E21"/>
      <pageMargins left="0.75" right="0.75" top="1" bottom="1" header="0.5" footer="0.5"/>
      <pageSetup orientation="portrait" r:id="rId2"/>
      <headerFooter alignWithMargins="0"/>
    </customSheetView>
  </customSheetViews>
  <phoneticPr fontId="4" type="noConversion"/>
  <pageMargins left="0.75" right="0.75" top="1" bottom="1" header="0.5" footer="0.5"/>
  <pageSetup orientation="portrait" r:id="rId3"/>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38"/>
  <sheetViews>
    <sheetView topLeftCell="A12" zoomScaleNormal="100" workbookViewId="0"/>
  </sheetViews>
  <sheetFormatPr defaultRowHeight="12.75" x14ac:dyDescent="0.2"/>
  <cols>
    <col min="2" max="4" width="10.7109375" customWidth="1"/>
    <col min="5" max="5" width="11.28515625" customWidth="1"/>
    <col min="6" max="9" width="9.5703125" bestFit="1" customWidth="1"/>
    <col min="10" max="10" width="7.28515625" customWidth="1"/>
    <col min="11" max="11" width="9.28515625" customWidth="1"/>
    <col min="12" max="12" width="8.28515625" customWidth="1"/>
    <col min="13" max="13" width="7.140625" customWidth="1"/>
    <col min="14" max="14" width="10.28515625" style="2" customWidth="1"/>
    <col min="15" max="15" width="8.85546875" style="2" customWidth="1"/>
    <col min="16" max="16" width="10" style="2" customWidth="1"/>
    <col min="17" max="17" width="9.7109375" style="2" customWidth="1"/>
    <col min="18" max="21" width="8.85546875" style="2" customWidth="1"/>
  </cols>
  <sheetData>
    <row r="1" spans="1:28" ht="20.25" x14ac:dyDescent="0.3">
      <c r="A1" s="123" t="s">
        <v>144</v>
      </c>
      <c r="M1" s="123" t="s">
        <v>145</v>
      </c>
      <c r="N1" s="135"/>
    </row>
    <row r="2" spans="1:28" ht="51" x14ac:dyDescent="0.2">
      <c r="B2" s="187" t="s">
        <v>92</v>
      </c>
      <c r="C2" s="187" t="s">
        <v>93</v>
      </c>
      <c r="D2" s="187" t="s">
        <v>48</v>
      </c>
      <c r="E2" s="187" t="s">
        <v>49</v>
      </c>
      <c r="F2" s="187" t="s">
        <v>50</v>
      </c>
      <c r="G2" s="187" t="s">
        <v>51</v>
      </c>
      <c r="H2" s="187" t="s">
        <v>52</v>
      </c>
      <c r="I2" s="187" t="s">
        <v>53</v>
      </c>
      <c r="J2" s="187"/>
      <c r="K2" s="187"/>
      <c r="L2" s="187"/>
      <c r="M2" s="188"/>
      <c r="N2" s="187" t="s">
        <v>92</v>
      </c>
      <c r="O2" s="187" t="s">
        <v>93</v>
      </c>
      <c r="P2" s="187" t="s">
        <v>48</v>
      </c>
      <c r="Q2" s="187" t="s">
        <v>49</v>
      </c>
      <c r="R2" s="187" t="s">
        <v>50</v>
      </c>
      <c r="S2" s="187" t="s">
        <v>51</v>
      </c>
      <c r="T2" s="187" t="s">
        <v>52</v>
      </c>
      <c r="U2" s="187" t="s">
        <v>53</v>
      </c>
      <c r="V2" s="187"/>
      <c r="W2" s="187"/>
      <c r="X2" s="187"/>
      <c r="Y2" s="3"/>
      <c r="Z2" s="3"/>
      <c r="AA2" s="3"/>
      <c r="AB2" s="3"/>
    </row>
    <row r="3" spans="1:28" x14ac:dyDescent="0.2">
      <c r="B3" s="189">
        <v>0.1</v>
      </c>
      <c r="C3" s="189">
        <f>2*PI()*B3</f>
        <v>0.62831853071795862</v>
      </c>
      <c r="D3" s="190">
        <f t="shared" ref="D3:D24" si="0">20*LOG(AmBB*IMABS(IMDIV(IMPRODUCT(COMPLEX(1,-C3/wrBB),COMPLEX(1,C3/wzBB)),COMPLEX(1,C3/wpBB))))</f>
        <v>18.976949375692939</v>
      </c>
      <c r="E3" s="191">
        <f t="shared" ref="E3:E24" si="1">IMARGUMENT(IMDIV(IMPRODUCT(COMPLEX(1,-C3/wrBB),COMPLEX(1,C3/wzBB)),COMPLEX(1,C3/wpBB)))*(180/PI())</f>
        <v>-1.1896127844758252E-2</v>
      </c>
      <c r="F3" s="191">
        <f t="shared" ref="F3:F24" si="2">20*LOG(Afb*IMABS(IMDIV(IMDIV(COMPLEX(1,C3/wzea),COMPLEX(1,C3/wpea)),COMPLEX(0,C3))))</f>
        <v>65.430364857333629</v>
      </c>
      <c r="G3" s="192">
        <f t="shared" ref="G3:G24" si="3">IMARGUMENT(IMDIV(IMDIV(COMPLEX(-1,-C3/wzea),COMPLEX(1,C3/wpea)),COMPLEX(0,C3)))*(180/PI())</f>
        <v>90.028197364290676</v>
      </c>
      <c r="H3" s="191">
        <f t="shared" ref="H3:H24" si="4">D3+F3</f>
        <v>84.407314233026568</v>
      </c>
      <c r="I3" s="193">
        <f t="shared" ref="I3:I24" si="5">E3+G3</f>
        <v>90.016301236445912</v>
      </c>
      <c r="J3" s="188"/>
      <c r="K3" s="194" t="s">
        <v>163</v>
      </c>
      <c r="L3" s="195"/>
      <c r="M3" s="188"/>
      <c r="N3" s="189">
        <v>0.1</v>
      </c>
      <c r="O3" s="189">
        <f>2*PI()*N3</f>
        <v>0.62831853071795862</v>
      </c>
      <c r="P3" s="191">
        <f t="shared" ref="P3:P24" si="6">20*LOG(Amb*IMABS(IMDIV(COMPLEX(1,O3/wzb),COMPLEX(1,O3/wpb))))</f>
        <v>28.519374250419393</v>
      </c>
      <c r="Q3" s="191">
        <f t="shared" ref="Q3:Q24" si="7">IMARGUMENT(IMDIV(COMPLEX(1,O3/wzb),COMPLEX(1,O3/wpb)))*(180/PI())</f>
        <v>-1.7260127476080356E-2</v>
      </c>
      <c r="R3" s="191">
        <f t="shared" ref="R3:R24" si="8">20*LOG(Afb*IMABS(IMDIV(IMDIV(COMPLEX(1,O3/wzea),COMPLEX(1,O3/wpea)),COMPLEX(0,O3))))</f>
        <v>65.430364857333629</v>
      </c>
      <c r="S3" s="193">
        <f t="shared" ref="S3:S24" si="9">IMARGUMENT(IMDIV(IMDIV(COMPLEX(-1,-O3/wzea),COMPLEX(1,O3/wpea)),COMPLEX(0,O3)))*(180/PI())</f>
        <v>90.028197364290676</v>
      </c>
      <c r="T3" s="190">
        <f>P3+R3</f>
        <v>93.949739107753018</v>
      </c>
      <c r="U3" s="193">
        <f>Q3+S3</f>
        <v>90.010937236814598</v>
      </c>
      <c r="V3" s="188"/>
      <c r="W3" s="196" t="s">
        <v>164</v>
      </c>
      <c r="X3" s="188"/>
    </row>
    <row r="4" spans="1:28" x14ac:dyDescent="0.2">
      <c r="B4" s="189">
        <v>0.2</v>
      </c>
      <c r="C4" s="189">
        <f>2*PI()*B4</f>
        <v>1.2566370614359172</v>
      </c>
      <c r="D4" s="190">
        <f t="shared" si="0"/>
        <v>18.976948849614558</v>
      </c>
      <c r="E4" s="191">
        <f t="shared" si="1"/>
        <v>-2.3792254758065994E-2</v>
      </c>
      <c r="F4" s="191">
        <f t="shared" si="2"/>
        <v>59.409768282845263</v>
      </c>
      <c r="G4" s="192">
        <f t="shared" si="3"/>
        <v>90.056394713698452</v>
      </c>
      <c r="H4" s="191">
        <f t="shared" si="4"/>
        <v>78.386717132459822</v>
      </c>
      <c r="I4" s="193">
        <f t="shared" si="5"/>
        <v>90.032602458940389</v>
      </c>
      <c r="J4" s="188"/>
      <c r="K4" s="197" t="s">
        <v>159</v>
      </c>
      <c r="L4" s="198" t="s">
        <v>160</v>
      </c>
      <c r="M4" s="188"/>
      <c r="N4" s="189">
        <v>0.2</v>
      </c>
      <c r="O4" s="189">
        <f>2*PI()*N4</f>
        <v>1.2566370614359172</v>
      </c>
      <c r="P4" s="191">
        <f t="shared" si="6"/>
        <v>28.51937306534094</v>
      </c>
      <c r="Q4" s="191">
        <f t="shared" si="7"/>
        <v>-3.4520251808643605E-2</v>
      </c>
      <c r="R4" s="191">
        <f t="shared" si="8"/>
        <v>59.409768282845263</v>
      </c>
      <c r="S4" s="193">
        <f t="shared" si="9"/>
        <v>90.056394713698452</v>
      </c>
      <c r="T4" s="190">
        <f t="shared" ref="T4:T24" si="10">P4+R4</f>
        <v>87.929141348186207</v>
      </c>
      <c r="U4" s="193">
        <f t="shared" ref="U4:U24" si="11">Q4+S4</f>
        <v>90.021874461889809</v>
      </c>
      <c r="V4" s="188"/>
      <c r="W4" s="197" t="s">
        <v>159</v>
      </c>
      <c r="X4" s="198" t="s">
        <v>160</v>
      </c>
    </row>
    <row r="5" spans="1:28" x14ac:dyDescent="0.2">
      <c r="B5" s="189">
        <v>0.5</v>
      </c>
      <c r="C5" s="189">
        <f>2*PI()*B5</f>
        <v>3.1415926535897931</v>
      </c>
      <c r="D5" s="190">
        <f t="shared" si="0"/>
        <v>18.976945167067832</v>
      </c>
      <c r="E5" s="191">
        <f t="shared" si="1"/>
        <v>-5.9480620594791388E-2</v>
      </c>
      <c r="F5" s="191">
        <f t="shared" si="2"/>
        <v>51.450991480871991</v>
      </c>
      <c r="G5" s="192">
        <f t="shared" si="3"/>
        <v>90.140986523796542</v>
      </c>
      <c r="H5" s="191">
        <f t="shared" si="4"/>
        <v>70.427936647939816</v>
      </c>
      <c r="I5" s="193">
        <f t="shared" si="5"/>
        <v>90.081505903201744</v>
      </c>
      <c r="J5" s="199" t="s">
        <v>151</v>
      </c>
      <c r="K5" s="193">
        <f>(1+DBB)/(Cout*10^-6*Rout)</f>
        <v>3125.0000000000005</v>
      </c>
      <c r="L5" s="193">
        <f>K5/(2*PI())</f>
        <v>497.35919716217302</v>
      </c>
      <c r="M5" s="188"/>
      <c r="N5" s="189">
        <v>0.5</v>
      </c>
      <c r="O5" s="189">
        <f>2*PI()*N5</f>
        <v>3.1415926535897931</v>
      </c>
      <c r="P5" s="191">
        <f t="shared" si="6"/>
        <v>28.519364769800774</v>
      </c>
      <c r="Q5" s="191">
        <f t="shared" si="7"/>
        <v>-8.630057451013208E-2</v>
      </c>
      <c r="R5" s="191">
        <f t="shared" si="8"/>
        <v>51.450991480871991</v>
      </c>
      <c r="S5" s="193">
        <f t="shared" si="9"/>
        <v>90.140986523796542</v>
      </c>
      <c r="T5" s="190">
        <f t="shared" si="10"/>
        <v>79.970356250672765</v>
      </c>
      <c r="U5" s="193">
        <f t="shared" si="11"/>
        <v>90.054685949286409</v>
      </c>
      <c r="V5" s="200" t="s">
        <v>152</v>
      </c>
      <c r="W5" s="193">
        <f>1/(Cout*10^-6*Coutesr*10^-3)</f>
        <v>1811594.2028985512</v>
      </c>
      <c r="X5" s="193">
        <f>W5/(2*PI())</f>
        <v>288324.17226792645</v>
      </c>
    </row>
    <row r="6" spans="1:28" x14ac:dyDescent="0.2">
      <c r="B6" s="189">
        <v>1</v>
      </c>
      <c r="C6" s="189">
        <f>2*PI()*B6</f>
        <v>6.2831853071795862</v>
      </c>
      <c r="D6" s="190">
        <f t="shared" si="0"/>
        <v>18.976932015140704</v>
      </c>
      <c r="E6" s="191">
        <f t="shared" si="1"/>
        <v>-0.11896112475861735</v>
      </c>
      <c r="F6" s="191">
        <f t="shared" si="2"/>
        <v>45.430475036090613</v>
      </c>
      <c r="G6" s="192">
        <f t="shared" si="3"/>
        <v>90.281971187266194</v>
      </c>
      <c r="H6" s="191">
        <f t="shared" si="4"/>
        <v>64.407407051231317</v>
      </c>
      <c r="I6" s="193">
        <f t="shared" si="5"/>
        <v>90.163010062507581</v>
      </c>
      <c r="J6" s="201" t="s">
        <v>153</v>
      </c>
      <c r="K6" s="193">
        <f>(Rout*(1-DBB)^2)/(L*10^-6*DBB)</f>
        <v>90909.090909090912</v>
      </c>
      <c r="L6" s="193">
        <f>K6/(2*PI())</f>
        <v>14468.631190172304</v>
      </c>
      <c r="M6" s="188"/>
      <c r="N6" s="189">
        <v>1</v>
      </c>
      <c r="O6" s="189">
        <f>2*PI()*N6</f>
        <v>6.2831853071795862</v>
      </c>
      <c r="P6" s="191">
        <f t="shared" si="6"/>
        <v>28.519335143000969</v>
      </c>
      <c r="Q6" s="191">
        <f t="shared" si="7"/>
        <v>-0.17260075608320091</v>
      </c>
      <c r="R6" s="191">
        <f t="shared" si="8"/>
        <v>45.430475036090613</v>
      </c>
      <c r="S6" s="193">
        <f t="shared" si="9"/>
        <v>90.281971187266194</v>
      </c>
      <c r="T6" s="190">
        <f t="shared" si="10"/>
        <v>73.949810179091585</v>
      </c>
      <c r="U6" s="193">
        <f t="shared" si="11"/>
        <v>90.109370431182995</v>
      </c>
      <c r="V6" s="200" t="s">
        <v>151</v>
      </c>
      <c r="W6" s="193">
        <f>1/(Cout*10^-6*Rout)</f>
        <v>2083.3333333333335</v>
      </c>
      <c r="X6" s="193">
        <f>W6/(2*PI())</f>
        <v>331.57279810811531</v>
      </c>
    </row>
    <row r="7" spans="1:28" x14ac:dyDescent="0.2">
      <c r="B7" s="189">
        <v>2</v>
      </c>
      <c r="C7" s="189">
        <f t="shared" ref="C7:C24" si="12">2*PI()*B7</f>
        <v>12.566370614359172</v>
      </c>
      <c r="D7" s="190">
        <f t="shared" si="0"/>
        <v>18.976879407831639</v>
      </c>
      <c r="E7" s="191">
        <f t="shared" si="1"/>
        <v>-0.23792131807797459</v>
      </c>
      <c r="F7" s="191">
        <f t="shared" si="2"/>
        <v>39.410208980737103</v>
      </c>
      <c r="G7" s="192">
        <f t="shared" si="3"/>
        <v>90.563927492775974</v>
      </c>
      <c r="H7" s="191">
        <f t="shared" si="4"/>
        <v>58.387088388568742</v>
      </c>
      <c r="I7" s="193">
        <f t="shared" si="5"/>
        <v>90.326006174697994</v>
      </c>
      <c r="J7" s="199" t="s">
        <v>152</v>
      </c>
      <c r="K7" s="202">
        <f>1/(Cout*10^-6*Coutesr*10^-3)</f>
        <v>1811594.2028985512</v>
      </c>
      <c r="L7" s="193">
        <f>K7/(2*PI())</f>
        <v>288324.17226792645</v>
      </c>
      <c r="M7" s="188"/>
      <c r="N7" s="189">
        <v>2</v>
      </c>
      <c r="O7" s="189">
        <f t="shared" ref="O7:O24" si="13">2*PI()*N7</f>
        <v>12.566370614359172</v>
      </c>
      <c r="P7" s="191">
        <f t="shared" si="6"/>
        <v>28.519216637822797</v>
      </c>
      <c r="Q7" s="191">
        <f t="shared" si="7"/>
        <v>-0.34519836873422766</v>
      </c>
      <c r="R7" s="191">
        <f t="shared" si="8"/>
        <v>39.410208980737103</v>
      </c>
      <c r="S7" s="193">
        <f t="shared" si="9"/>
        <v>90.563927492775974</v>
      </c>
      <c r="T7" s="190">
        <f t="shared" si="10"/>
        <v>67.929425618559904</v>
      </c>
      <c r="U7" s="193">
        <f t="shared" si="11"/>
        <v>90.218729124041744</v>
      </c>
      <c r="V7" s="203"/>
      <c r="W7" s="204" t="s">
        <v>161</v>
      </c>
      <c r="X7" s="204" t="s">
        <v>162</v>
      </c>
    </row>
    <row r="8" spans="1:28" x14ac:dyDescent="0.2">
      <c r="B8" s="189">
        <v>5</v>
      </c>
      <c r="C8" s="189">
        <f t="shared" si="12"/>
        <v>31.415926535897931</v>
      </c>
      <c r="D8" s="190">
        <f t="shared" si="0"/>
        <v>18.976511174552211</v>
      </c>
      <c r="E8" s="191">
        <f t="shared" si="1"/>
        <v>-0.59478699595666706</v>
      </c>
      <c r="F8" s="191">
        <f t="shared" si="2"/>
        <v>31.453745093294536</v>
      </c>
      <c r="G8" s="192">
        <f t="shared" si="3"/>
        <v>91.409558397339552</v>
      </c>
      <c r="H8" s="191">
        <f t="shared" si="4"/>
        <v>50.430256267846744</v>
      </c>
      <c r="I8" s="193">
        <f t="shared" si="5"/>
        <v>90.814771401382885</v>
      </c>
      <c r="J8" s="188"/>
      <c r="K8" s="200" t="s">
        <v>161</v>
      </c>
      <c r="L8" s="200" t="s">
        <v>162</v>
      </c>
      <c r="M8" s="188"/>
      <c r="N8" s="189">
        <v>5</v>
      </c>
      <c r="O8" s="189">
        <f t="shared" si="13"/>
        <v>31.415926535897931</v>
      </c>
      <c r="P8" s="191">
        <f t="shared" si="6"/>
        <v>28.518387192105109</v>
      </c>
      <c r="Q8" s="191">
        <f t="shared" si="7"/>
        <v>-0.8629409189765298</v>
      </c>
      <c r="R8" s="191">
        <f t="shared" si="8"/>
        <v>31.453745093294536</v>
      </c>
      <c r="S8" s="193">
        <f t="shared" si="9"/>
        <v>91.409558397339552</v>
      </c>
      <c r="T8" s="190">
        <f t="shared" si="10"/>
        <v>59.972132285399645</v>
      </c>
      <c r="U8" s="193">
        <f t="shared" si="11"/>
        <v>90.546617478363018</v>
      </c>
      <c r="V8" s="200" t="s">
        <v>155</v>
      </c>
      <c r="W8" s="193">
        <f>Rout/Ri</f>
        <v>26.666666666666668</v>
      </c>
      <c r="X8" s="193">
        <f>20*LOG(Amb)</f>
        <v>28.519374645445623</v>
      </c>
    </row>
    <row r="9" spans="1:28" x14ac:dyDescent="0.2">
      <c r="B9" s="189">
        <v>10</v>
      </c>
      <c r="C9" s="189">
        <f t="shared" si="12"/>
        <v>62.831853071795862</v>
      </c>
      <c r="D9" s="190">
        <f t="shared" si="0"/>
        <v>18.975196311117084</v>
      </c>
      <c r="E9" s="191">
        <f t="shared" si="1"/>
        <v>-1.1894575958830678</v>
      </c>
      <c r="F9" s="191">
        <f t="shared" si="2"/>
        <v>25.441478797591991</v>
      </c>
      <c r="G9" s="192">
        <f t="shared" si="3"/>
        <v>92.817260003609817</v>
      </c>
      <c r="H9" s="191">
        <f t="shared" si="4"/>
        <v>44.416675108709072</v>
      </c>
      <c r="I9" s="193">
        <f t="shared" si="5"/>
        <v>91.627802407726747</v>
      </c>
      <c r="J9" s="205" t="s">
        <v>155</v>
      </c>
      <c r="K9" s="193">
        <f>(Rout/Ri)*((1-DBB)/(1+DBB))</f>
        <v>8.8888888888888893</v>
      </c>
      <c r="L9" s="193">
        <f>20*LOG(K9)</f>
        <v>18.976949551052375</v>
      </c>
      <c r="M9" s="188"/>
      <c r="N9" s="189">
        <v>10</v>
      </c>
      <c r="O9" s="189">
        <f t="shared" si="13"/>
        <v>62.831853071795862</v>
      </c>
      <c r="P9" s="191">
        <f t="shared" si="6"/>
        <v>28.5154261784737</v>
      </c>
      <c r="Q9" s="191">
        <f t="shared" si="7"/>
        <v>-1.7254891660849629</v>
      </c>
      <c r="R9" s="191">
        <f t="shared" si="8"/>
        <v>25.441478797591991</v>
      </c>
      <c r="S9" s="193">
        <f t="shared" si="9"/>
        <v>92.817260003609817</v>
      </c>
      <c r="T9" s="190">
        <f t="shared" si="10"/>
        <v>53.956904976065687</v>
      </c>
      <c r="U9" s="193">
        <f t="shared" si="11"/>
        <v>91.091770837524848</v>
      </c>
      <c r="V9" s="203"/>
      <c r="W9" s="188"/>
      <c r="X9" s="188"/>
    </row>
    <row r="10" spans="1:28" x14ac:dyDescent="0.2">
      <c r="B10" s="189">
        <v>20</v>
      </c>
      <c r="C10" s="189">
        <f t="shared" si="12"/>
        <v>125.66370614359172</v>
      </c>
      <c r="D10" s="190">
        <f t="shared" si="0"/>
        <v>18.969940844057259</v>
      </c>
      <c r="E10" s="191">
        <f t="shared" si="1"/>
        <v>-2.3779848694383197</v>
      </c>
      <c r="F10" s="191">
        <f t="shared" si="2"/>
        <v>19.454054103635322</v>
      </c>
      <c r="G10" s="192">
        <f t="shared" si="3"/>
        <v>95.619750743117208</v>
      </c>
      <c r="H10" s="191">
        <f t="shared" si="4"/>
        <v>38.423994947692577</v>
      </c>
      <c r="I10" s="193">
        <f t="shared" si="5"/>
        <v>93.241765873678887</v>
      </c>
      <c r="J10" s="188"/>
      <c r="K10" s="203"/>
      <c r="L10" s="189"/>
      <c r="M10" s="188"/>
      <c r="N10" s="189">
        <v>20</v>
      </c>
      <c r="O10" s="189">
        <f t="shared" si="13"/>
        <v>125.66370614359172</v>
      </c>
      <c r="P10" s="191">
        <f t="shared" si="6"/>
        <v>28.503602270952008</v>
      </c>
      <c r="Q10" s="191">
        <f t="shared" si="7"/>
        <v>-3.4478433687487415</v>
      </c>
      <c r="R10" s="191">
        <f t="shared" si="8"/>
        <v>19.454054103635322</v>
      </c>
      <c r="S10" s="193">
        <f t="shared" si="9"/>
        <v>95.619750743117208</v>
      </c>
      <c r="T10" s="190">
        <f t="shared" si="10"/>
        <v>47.95765637458733</v>
      </c>
      <c r="U10" s="193">
        <f t="shared" si="11"/>
        <v>92.171907374368473</v>
      </c>
      <c r="V10" s="203"/>
      <c r="W10" s="188"/>
      <c r="X10" s="188"/>
    </row>
    <row r="11" spans="1:28" x14ac:dyDescent="0.2">
      <c r="B11" s="189">
        <v>50</v>
      </c>
      <c r="C11" s="189">
        <f t="shared" si="12"/>
        <v>314.15926535897933</v>
      </c>
      <c r="D11" s="190">
        <f t="shared" si="0"/>
        <v>18.93332999577958</v>
      </c>
      <c r="E11" s="191">
        <f t="shared" si="1"/>
        <v>-5.9287756035398491</v>
      </c>
      <c r="F11" s="191">
        <f t="shared" si="2"/>
        <v>11.720633805027623</v>
      </c>
      <c r="G11" s="192">
        <f t="shared" si="3"/>
        <v>103.80003080379733</v>
      </c>
      <c r="H11" s="191">
        <f t="shared" si="4"/>
        <v>30.653963800807205</v>
      </c>
      <c r="I11" s="193">
        <f t="shared" si="5"/>
        <v>97.87125520025748</v>
      </c>
      <c r="J11" s="188"/>
      <c r="K11" s="206" t="s">
        <v>154</v>
      </c>
      <c r="L11" s="203"/>
      <c r="M11" s="188"/>
      <c r="N11" s="189">
        <v>50</v>
      </c>
      <c r="O11" s="189">
        <f t="shared" si="13"/>
        <v>314.15926535897933</v>
      </c>
      <c r="P11" s="191">
        <f t="shared" si="6"/>
        <v>28.421724190104474</v>
      </c>
      <c r="Q11" s="191">
        <f t="shared" si="7"/>
        <v>-8.5654533095555756</v>
      </c>
      <c r="R11" s="191">
        <f t="shared" si="8"/>
        <v>11.720633805027623</v>
      </c>
      <c r="S11" s="193">
        <f t="shared" si="9"/>
        <v>103.80003080379733</v>
      </c>
      <c r="T11" s="190">
        <f t="shared" si="10"/>
        <v>40.142357995132095</v>
      </c>
      <c r="U11" s="193">
        <f t="shared" si="11"/>
        <v>95.234577494241748</v>
      </c>
      <c r="V11" s="188"/>
      <c r="W11" s="206" t="s">
        <v>154</v>
      </c>
      <c r="X11" s="203"/>
    </row>
    <row r="12" spans="1:28" x14ac:dyDescent="0.2">
      <c r="B12" s="189">
        <v>100</v>
      </c>
      <c r="C12" s="189">
        <f t="shared" si="12"/>
        <v>628.31853071795865</v>
      </c>
      <c r="D12" s="190">
        <f t="shared" si="0"/>
        <v>18.805045979371091</v>
      </c>
      <c r="E12" s="191">
        <f t="shared" si="1"/>
        <v>-11.744546143901069</v>
      </c>
      <c r="F12" s="191">
        <f t="shared" si="2"/>
        <v>6.4209847107606857</v>
      </c>
      <c r="G12" s="192">
        <f t="shared" si="3"/>
        <v>116.04020440524289</v>
      </c>
      <c r="H12" s="191">
        <f t="shared" si="4"/>
        <v>25.226030690131775</v>
      </c>
      <c r="I12" s="193">
        <f t="shared" si="5"/>
        <v>104.29565826134183</v>
      </c>
      <c r="J12" s="188"/>
      <c r="K12" s="197" t="s">
        <v>159</v>
      </c>
      <c r="L12" s="198" t="s">
        <v>160</v>
      </c>
      <c r="M12" s="188"/>
      <c r="N12" s="189">
        <v>100</v>
      </c>
      <c r="O12" s="189">
        <f t="shared" si="13"/>
        <v>628.31853071795865</v>
      </c>
      <c r="P12" s="191">
        <f t="shared" si="6"/>
        <v>28.141293763253742</v>
      </c>
      <c r="Q12" s="191">
        <f t="shared" si="7"/>
        <v>-16.763065892227708</v>
      </c>
      <c r="R12" s="191">
        <f t="shared" si="8"/>
        <v>6.4209847107606857</v>
      </c>
      <c r="S12" s="193">
        <f t="shared" si="9"/>
        <v>116.04020440524289</v>
      </c>
      <c r="T12" s="190">
        <f t="shared" si="10"/>
        <v>34.562278474014427</v>
      </c>
      <c r="U12" s="193">
        <f t="shared" si="11"/>
        <v>99.277138513015188</v>
      </c>
      <c r="V12" s="188"/>
      <c r="W12" s="197" t="s">
        <v>159</v>
      </c>
      <c r="X12" s="198" t="s">
        <v>160</v>
      </c>
    </row>
    <row r="13" spans="1:28" x14ac:dyDescent="0.2">
      <c r="B13" s="189">
        <v>200</v>
      </c>
      <c r="C13" s="189">
        <f t="shared" si="12"/>
        <v>1256.6370614359173</v>
      </c>
      <c r="D13" s="190">
        <f t="shared" si="0"/>
        <v>18.326828045653151</v>
      </c>
      <c r="E13" s="191">
        <f t="shared" si="1"/>
        <v>-22.658441782226877</v>
      </c>
      <c r="F13" s="191">
        <f t="shared" si="2"/>
        <v>2.4723219409115389</v>
      </c>
      <c r="G13" s="192">
        <f t="shared" si="3"/>
        <v>133.72893433334002</v>
      </c>
      <c r="H13" s="191">
        <f t="shared" si="4"/>
        <v>20.799149986564689</v>
      </c>
      <c r="I13" s="193">
        <f t="shared" si="5"/>
        <v>111.07049255111315</v>
      </c>
      <c r="J13" s="207" t="s">
        <v>157</v>
      </c>
      <c r="K13" s="202">
        <f>(Czero*10^-9+Cpole*10^-9)/(Cpole*10^-9*Czero*10^-9*Rcomp)</f>
        <v>43975.737524124612</v>
      </c>
      <c r="L13" s="203">
        <f>wpea/(2*PI())</f>
        <v>6998.9560030761795</v>
      </c>
      <c r="M13" s="188"/>
      <c r="N13" s="189">
        <v>200</v>
      </c>
      <c r="O13" s="189">
        <f t="shared" si="13"/>
        <v>1256.6370614359173</v>
      </c>
      <c r="P13" s="191">
        <f t="shared" si="6"/>
        <v>27.171764480924907</v>
      </c>
      <c r="Q13" s="191">
        <f t="shared" si="7"/>
        <v>-31.05803884099852</v>
      </c>
      <c r="R13" s="191">
        <f t="shared" si="8"/>
        <v>2.4723219409115389</v>
      </c>
      <c r="S13" s="193">
        <f t="shared" si="9"/>
        <v>133.72893433334002</v>
      </c>
      <c r="T13" s="190">
        <f t="shared" si="10"/>
        <v>29.644086421836445</v>
      </c>
      <c r="U13" s="193">
        <f t="shared" si="11"/>
        <v>102.6708954923415</v>
      </c>
      <c r="V13" s="207" t="s">
        <v>157</v>
      </c>
      <c r="W13" s="193">
        <f>(Czero*10^-9+Cpole*10^-9)/(Cpole*10^-9*Czero*10^-9*Rcomp)</f>
        <v>43975.737524124612</v>
      </c>
      <c r="X13" s="203">
        <f>wpea/(2*PI())</f>
        <v>6998.9560030761795</v>
      </c>
    </row>
    <row r="14" spans="1:28" x14ac:dyDescent="0.2">
      <c r="B14" s="189">
        <v>500</v>
      </c>
      <c r="C14" s="189">
        <f t="shared" si="12"/>
        <v>3141.5926535897929</v>
      </c>
      <c r="D14" s="190">
        <f t="shared" si="0"/>
        <v>15.948786596029226</v>
      </c>
      <c r="E14" s="191">
        <f t="shared" si="1"/>
        <v>-47.031559609440244</v>
      </c>
      <c r="F14" s="191">
        <f t="shared" si="2"/>
        <v>0.12800474725150957</v>
      </c>
      <c r="G14" s="192">
        <f t="shared" si="3"/>
        <v>154.36345256196412</v>
      </c>
      <c r="H14" s="191">
        <f t="shared" si="4"/>
        <v>16.076791343280735</v>
      </c>
      <c r="I14" s="193">
        <f t="shared" si="5"/>
        <v>107.33189295252387</v>
      </c>
      <c r="J14" s="207" t="s">
        <v>156</v>
      </c>
      <c r="K14" s="203">
        <f>1/(Czero*10^-9*Rcomp)</f>
        <v>1240.6947890818858</v>
      </c>
      <c r="L14" s="193">
        <f>wzea/(2*PI())</f>
        <v>197.46270855073863</v>
      </c>
      <c r="M14" s="188"/>
      <c r="N14" s="189">
        <v>500</v>
      </c>
      <c r="O14" s="189">
        <f t="shared" si="13"/>
        <v>3141.5926535897929</v>
      </c>
      <c r="P14" s="191">
        <f t="shared" si="6"/>
        <v>23.368658188557507</v>
      </c>
      <c r="Q14" s="191">
        <f t="shared" si="7"/>
        <v>-56.350467508779509</v>
      </c>
      <c r="R14" s="191">
        <f t="shared" si="8"/>
        <v>0.12800474725150957</v>
      </c>
      <c r="S14" s="193">
        <f t="shared" si="9"/>
        <v>154.36345256196412</v>
      </c>
      <c r="T14" s="190">
        <f t="shared" si="10"/>
        <v>23.496662935809017</v>
      </c>
      <c r="U14" s="193">
        <f t="shared" si="11"/>
        <v>98.012985053184622</v>
      </c>
      <c r="V14" s="207" t="s">
        <v>156</v>
      </c>
      <c r="W14" s="203">
        <f>1/(Czero*10^-9*Rcomp)</f>
        <v>1240.6947890818858</v>
      </c>
      <c r="X14" s="193">
        <f>wzea/(2*PI())</f>
        <v>197.46270855073863</v>
      </c>
    </row>
    <row r="15" spans="1:28" x14ac:dyDescent="0.2">
      <c r="B15" s="189">
        <v>1000</v>
      </c>
      <c r="C15" s="189">
        <f t="shared" si="12"/>
        <v>6283.1853071795858</v>
      </c>
      <c r="D15" s="190">
        <f t="shared" si="0"/>
        <v>11.971161613298932</v>
      </c>
      <c r="E15" s="191">
        <f t="shared" si="1"/>
        <v>-67.311115440980643</v>
      </c>
      <c r="F15" s="191">
        <f t="shared" si="2"/>
        <v>-0.40098317487820007</v>
      </c>
      <c r="G15" s="192">
        <f t="shared" si="3"/>
        <v>160.69862133008942</v>
      </c>
      <c r="H15" s="191">
        <f t="shared" si="4"/>
        <v>11.570178438420731</v>
      </c>
      <c r="I15" s="193">
        <f t="shared" si="5"/>
        <v>93.38750588910878</v>
      </c>
      <c r="J15" s="203"/>
      <c r="K15" s="200" t="s">
        <v>161</v>
      </c>
      <c r="L15" s="208" t="s">
        <v>162</v>
      </c>
      <c r="M15" s="188"/>
      <c r="N15" s="189">
        <v>1000</v>
      </c>
      <c r="O15" s="189">
        <f t="shared" si="13"/>
        <v>6283.1853071795858</v>
      </c>
      <c r="P15" s="191">
        <f t="shared" si="6"/>
        <v>18.478007708615113</v>
      </c>
      <c r="Q15" s="191">
        <f t="shared" si="7"/>
        <v>-71.457163986001873</v>
      </c>
      <c r="R15" s="191">
        <f t="shared" si="8"/>
        <v>-0.40098317487820007</v>
      </c>
      <c r="S15" s="193">
        <f t="shared" si="9"/>
        <v>160.69862133008942</v>
      </c>
      <c r="T15" s="190">
        <f t="shared" si="10"/>
        <v>18.077024533736914</v>
      </c>
      <c r="U15" s="193">
        <f t="shared" si="11"/>
        <v>89.24145734408755</v>
      </c>
      <c r="V15" s="203"/>
      <c r="W15" s="200" t="s">
        <v>161</v>
      </c>
      <c r="X15" s="208" t="s">
        <v>162</v>
      </c>
    </row>
    <row r="16" spans="1:28" x14ac:dyDescent="0.2">
      <c r="B16" s="189">
        <v>2000</v>
      </c>
      <c r="C16" s="189">
        <f t="shared" si="12"/>
        <v>12566.370614359172</v>
      </c>
      <c r="D16" s="190">
        <f t="shared" si="0"/>
        <v>6.7115647526483881</v>
      </c>
      <c r="E16" s="191">
        <f t="shared" si="1"/>
        <v>-83.507674820935804</v>
      </c>
      <c r="F16" s="191">
        <f t="shared" si="2"/>
        <v>-0.77810423584604127</v>
      </c>
      <c r="G16" s="192">
        <f t="shared" si="3"/>
        <v>158.41373078464989</v>
      </c>
      <c r="H16" s="191">
        <f t="shared" si="4"/>
        <v>5.9334605168023469</v>
      </c>
      <c r="I16" s="193">
        <f t="shared" si="5"/>
        <v>74.906055963714081</v>
      </c>
      <c r="J16" s="207" t="s">
        <v>158</v>
      </c>
      <c r="K16" s="193">
        <f>1/(_Rfb2*(Czero*10^-9+Cpole*10^-9))</f>
        <v>1174.0809881065595</v>
      </c>
      <c r="L16" s="193">
        <f>20*LOG(K16)</f>
        <v>61.39396111156487</v>
      </c>
      <c r="M16" s="188"/>
      <c r="N16" s="189">
        <v>2000</v>
      </c>
      <c r="O16" s="189">
        <f t="shared" si="13"/>
        <v>12566.370614359172</v>
      </c>
      <c r="P16" s="191">
        <f t="shared" si="6"/>
        <v>12.792806127308786</v>
      </c>
      <c r="Q16" s="191">
        <f t="shared" si="7"/>
        <v>-80.189323654429344</v>
      </c>
      <c r="R16" s="191">
        <f t="shared" si="8"/>
        <v>-0.77810423584604127</v>
      </c>
      <c r="S16" s="193">
        <f t="shared" si="9"/>
        <v>158.41373078464989</v>
      </c>
      <c r="T16" s="190">
        <f t="shared" si="10"/>
        <v>12.014701891462746</v>
      </c>
      <c r="U16" s="193">
        <f t="shared" si="11"/>
        <v>78.224407130220541</v>
      </c>
      <c r="V16" s="207" t="s">
        <v>158</v>
      </c>
      <c r="W16" s="193">
        <f>1/(_Rfb2*(Czero*10^-9+Cpole*10^-9))</f>
        <v>1174.0809881065595</v>
      </c>
      <c r="X16" s="193">
        <f>20*LOG(W16)</f>
        <v>61.39396111156487</v>
      </c>
    </row>
    <row r="17" spans="2:24" x14ac:dyDescent="0.2">
      <c r="B17" s="189">
        <v>5000</v>
      </c>
      <c r="C17" s="189">
        <f t="shared" si="12"/>
        <v>31415.926535897932</v>
      </c>
      <c r="D17" s="190">
        <f t="shared" si="0"/>
        <v>-0.62056310391563219</v>
      </c>
      <c r="E17" s="191">
        <f t="shared" si="1"/>
        <v>-102.38974959374835</v>
      </c>
      <c r="F17" s="191">
        <f t="shared" si="2"/>
        <v>-2.2633639277438284</v>
      </c>
      <c r="G17" s="192">
        <f t="shared" si="3"/>
        <v>142.19669946093961</v>
      </c>
      <c r="H17" s="191">
        <f t="shared" si="4"/>
        <v>-2.8839270316594607</v>
      </c>
      <c r="I17" s="193">
        <f t="shared" si="5"/>
        <v>39.806949867191264</v>
      </c>
      <c r="J17" s="192"/>
      <c r="K17" s="188"/>
      <c r="L17" s="195"/>
      <c r="M17" s="188"/>
      <c r="N17" s="189">
        <v>5000</v>
      </c>
      <c r="O17" s="189">
        <f t="shared" si="13"/>
        <v>31415.926535897932</v>
      </c>
      <c r="P17" s="191">
        <f t="shared" si="6"/>
        <v>4.933801551944013</v>
      </c>
      <c r="Q17" s="191">
        <f t="shared" si="7"/>
        <v>-85.212510199388802</v>
      </c>
      <c r="R17" s="191">
        <f t="shared" si="8"/>
        <v>-2.2633639277438284</v>
      </c>
      <c r="S17" s="193">
        <f t="shared" si="9"/>
        <v>142.19669946093961</v>
      </c>
      <c r="T17" s="190">
        <f t="shared" si="10"/>
        <v>2.6704376242001846</v>
      </c>
      <c r="U17" s="193">
        <f t="shared" si="11"/>
        <v>56.98418926155081</v>
      </c>
      <c r="V17" s="188"/>
      <c r="W17" s="188"/>
      <c r="X17" s="195"/>
    </row>
    <row r="18" spans="2:24" x14ac:dyDescent="0.2">
      <c r="B18" s="189">
        <v>10000</v>
      </c>
      <c r="C18" s="189">
        <f t="shared" si="12"/>
        <v>62831.853071795864</v>
      </c>
      <c r="D18" s="190">
        <f t="shared" si="0"/>
        <v>-5.3993260319073482</v>
      </c>
      <c r="E18" s="191">
        <f t="shared" si="1"/>
        <v>-119.8165886044451</v>
      </c>
      <c r="F18" s="191">
        <f t="shared" si="2"/>
        <v>-5.3084164126384579</v>
      </c>
      <c r="G18" s="192">
        <f t="shared" si="3"/>
        <v>123.8567744952161</v>
      </c>
      <c r="H18" s="191">
        <f t="shared" si="4"/>
        <v>-10.707742444545806</v>
      </c>
      <c r="I18" s="193">
        <f t="shared" si="5"/>
        <v>4.0401858907709993</v>
      </c>
      <c r="J18" s="209"/>
      <c r="K18" s="209"/>
      <c r="L18" s="210"/>
      <c r="M18" s="188"/>
      <c r="N18" s="189">
        <v>10000</v>
      </c>
      <c r="O18" s="189">
        <f t="shared" si="13"/>
        <v>62831.853071795864</v>
      </c>
      <c r="P18" s="191">
        <f t="shared" si="6"/>
        <v>-1.0685984133278656</v>
      </c>
      <c r="Q18" s="191">
        <f t="shared" si="7"/>
        <v>-86.11451979599758</v>
      </c>
      <c r="R18" s="191">
        <f t="shared" si="8"/>
        <v>-5.3084164126384579</v>
      </c>
      <c r="S18" s="193">
        <f t="shared" si="9"/>
        <v>123.8567744952161</v>
      </c>
      <c r="T18" s="190">
        <f t="shared" si="10"/>
        <v>-6.3770148259663237</v>
      </c>
      <c r="U18" s="193">
        <f t="shared" si="11"/>
        <v>37.74225469921852</v>
      </c>
      <c r="V18" s="188"/>
      <c r="W18" s="188"/>
      <c r="X18" s="195"/>
    </row>
    <row r="19" spans="2:24" x14ac:dyDescent="0.2">
      <c r="B19" s="189">
        <v>20000</v>
      </c>
      <c r="C19" s="189">
        <f t="shared" si="12"/>
        <v>125663.70614359173</v>
      </c>
      <c r="D19" s="190">
        <f t="shared" si="0"/>
        <v>-8.4520282716494535</v>
      </c>
      <c r="E19" s="191">
        <f t="shared" si="1"/>
        <v>-138.72425643407783</v>
      </c>
      <c r="F19" s="191">
        <f t="shared" si="2"/>
        <v>-10.100571504490823</v>
      </c>
      <c r="G19" s="192">
        <f t="shared" si="3"/>
        <v>108.7217111277767</v>
      </c>
      <c r="H19" s="191">
        <f t="shared" si="4"/>
        <v>-18.552599776140276</v>
      </c>
      <c r="I19" s="193">
        <f t="shared" si="5"/>
        <v>-30.00254530630113</v>
      </c>
      <c r="J19" s="192"/>
      <c r="K19" s="200"/>
      <c r="L19" s="210"/>
      <c r="M19" s="188"/>
      <c r="N19" s="189">
        <v>20000</v>
      </c>
      <c r="O19" s="189">
        <f t="shared" si="13"/>
        <v>125663.70614359173</v>
      </c>
      <c r="P19" s="191">
        <f t="shared" si="6"/>
        <v>-7.0699940807140109</v>
      </c>
      <c r="Q19" s="191">
        <f t="shared" si="7"/>
        <v>-85.08215710495341</v>
      </c>
      <c r="R19" s="191">
        <f t="shared" si="8"/>
        <v>-10.100571504490823</v>
      </c>
      <c r="S19" s="193">
        <f t="shared" si="9"/>
        <v>108.7217111277767</v>
      </c>
      <c r="T19" s="190">
        <f t="shared" si="10"/>
        <v>-17.170565585204834</v>
      </c>
      <c r="U19" s="193">
        <f t="shared" si="11"/>
        <v>23.63955402282329</v>
      </c>
      <c r="V19" s="188"/>
      <c r="W19" s="188"/>
      <c r="X19" s="195"/>
    </row>
    <row r="20" spans="2:24" x14ac:dyDescent="0.2">
      <c r="B20" s="189">
        <v>50000</v>
      </c>
      <c r="C20" s="189">
        <f t="shared" si="12"/>
        <v>314159.26535897929</v>
      </c>
      <c r="D20" s="190">
        <f t="shared" si="0"/>
        <v>-9.8207085708682857</v>
      </c>
      <c r="E20" s="191">
        <f t="shared" si="1"/>
        <v>-153.45293370890971</v>
      </c>
      <c r="F20" s="191">
        <f t="shared" si="2"/>
        <v>-17.642278502606597</v>
      </c>
      <c r="G20" s="192">
        <f t="shared" si="3"/>
        <v>97.742162636114799</v>
      </c>
      <c r="H20" s="191">
        <f t="shared" si="4"/>
        <v>-27.462987073474885</v>
      </c>
      <c r="I20" s="193">
        <f t="shared" si="5"/>
        <v>-55.710771072794913</v>
      </c>
      <c r="J20" s="211"/>
      <c r="K20" s="209"/>
      <c r="L20" s="210"/>
      <c r="M20" s="188"/>
      <c r="N20" s="189">
        <v>50000</v>
      </c>
      <c r="O20" s="189">
        <f t="shared" si="13"/>
        <v>314159.26535897929</v>
      </c>
      <c r="P20" s="191">
        <f t="shared" si="6"/>
        <v>-14.91995816616831</v>
      </c>
      <c r="Q20" s="191">
        <f t="shared" si="7"/>
        <v>-79.781893689794543</v>
      </c>
      <c r="R20" s="191">
        <f t="shared" si="8"/>
        <v>-17.642278502606597</v>
      </c>
      <c r="S20" s="193">
        <f t="shared" si="9"/>
        <v>97.742162636114799</v>
      </c>
      <c r="T20" s="190">
        <f t="shared" si="10"/>
        <v>-32.562236668774908</v>
      </c>
      <c r="U20" s="193">
        <f t="shared" si="11"/>
        <v>17.960268946320255</v>
      </c>
      <c r="V20" s="188"/>
      <c r="W20" s="188"/>
      <c r="X20" s="195"/>
    </row>
    <row r="21" spans="2:24" x14ac:dyDescent="0.2">
      <c r="B21" s="189">
        <v>100000</v>
      </c>
      <c r="C21" s="189">
        <f t="shared" si="12"/>
        <v>628318.53071795858</v>
      </c>
      <c r="D21" s="190">
        <f t="shared" si="0"/>
        <v>-9.715012941531505</v>
      </c>
      <c r="E21" s="191">
        <f t="shared" si="1"/>
        <v>-152.35407922300379</v>
      </c>
      <c r="F21" s="191">
        <f t="shared" si="2"/>
        <v>-23.599877995511143</v>
      </c>
      <c r="G21" s="192">
        <f t="shared" si="3"/>
        <v>93.890440039758275</v>
      </c>
      <c r="H21" s="191">
        <f t="shared" si="4"/>
        <v>-33.314890937042648</v>
      </c>
      <c r="I21" s="193">
        <f t="shared" si="5"/>
        <v>-58.463639183245519</v>
      </c>
      <c r="J21" s="192"/>
      <c r="K21" s="188"/>
      <c r="L21" s="195"/>
      <c r="M21" s="188"/>
      <c r="N21" s="189">
        <v>100000</v>
      </c>
      <c r="O21" s="189">
        <f t="shared" si="13"/>
        <v>628318.53071795858</v>
      </c>
      <c r="P21" s="191">
        <f t="shared" si="6"/>
        <v>-20.575781637517231</v>
      </c>
      <c r="Q21" s="191">
        <f t="shared" si="7"/>
        <v>-70.681849721378512</v>
      </c>
      <c r="R21" s="191">
        <f t="shared" si="8"/>
        <v>-23.599877995511143</v>
      </c>
      <c r="S21" s="193">
        <f t="shared" si="9"/>
        <v>93.890440039758275</v>
      </c>
      <c r="T21" s="190">
        <f t="shared" si="10"/>
        <v>-44.175659633028374</v>
      </c>
      <c r="U21" s="193">
        <f t="shared" si="11"/>
        <v>23.208590318379763</v>
      </c>
      <c r="V21" s="188"/>
      <c r="W21" s="188"/>
      <c r="X21" s="195"/>
    </row>
    <row r="22" spans="2:24" x14ac:dyDescent="0.2">
      <c r="B22" s="189">
        <v>200000</v>
      </c>
      <c r="C22" s="189">
        <f t="shared" si="12"/>
        <v>1256637.0614359172</v>
      </c>
      <c r="D22" s="190">
        <f t="shared" si="0"/>
        <v>-8.56950656554395</v>
      </c>
      <c r="E22" s="191">
        <f t="shared" si="1"/>
        <v>-140.97212877072113</v>
      </c>
      <c r="F22" s="191">
        <f t="shared" si="2"/>
        <v>-29.604583729719739</v>
      </c>
      <c r="G22" s="192">
        <f t="shared" si="3"/>
        <v>91.947666434217098</v>
      </c>
      <c r="H22" s="191">
        <f t="shared" si="4"/>
        <v>-38.174090295263689</v>
      </c>
      <c r="I22" s="193">
        <f t="shared" si="5"/>
        <v>-49.02446233650403</v>
      </c>
      <c r="J22" s="192"/>
      <c r="K22" s="209"/>
      <c r="L22" s="210"/>
      <c r="M22" s="188"/>
      <c r="N22" s="189">
        <v>200000</v>
      </c>
      <c r="O22" s="189">
        <f t="shared" si="13"/>
        <v>1256637.0614359172</v>
      </c>
      <c r="P22" s="191">
        <f t="shared" si="6"/>
        <v>-25.383612387125357</v>
      </c>
      <c r="Q22" s="191">
        <f t="shared" si="7"/>
        <v>-55.157372080045803</v>
      </c>
      <c r="R22" s="191">
        <f t="shared" si="8"/>
        <v>-29.604583729719739</v>
      </c>
      <c r="S22" s="193">
        <f t="shared" si="9"/>
        <v>91.947666434217098</v>
      </c>
      <c r="T22" s="190">
        <f t="shared" si="10"/>
        <v>-54.988196116845096</v>
      </c>
      <c r="U22" s="193">
        <f t="shared" si="11"/>
        <v>36.790294354171294</v>
      </c>
      <c r="V22" s="188"/>
      <c r="W22" s="188"/>
      <c r="X22" s="195"/>
    </row>
    <row r="23" spans="2:24" x14ac:dyDescent="0.2">
      <c r="B23" s="189">
        <v>500000</v>
      </c>
      <c r="C23" s="189">
        <f t="shared" si="12"/>
        <v>3141592.653589793</v>
      </c>
      <c r="D23" s="190">
        <f t="shared" si="0"/>
        <v>-4.2660383320406439</v>
      </c>
      <c r="E23" s="191">
        <f t="shared" si="1"/>
        <v>-118.2553142366823</v>
      </c>
      <c r="F23" s="191">
        <f t="shared" si="2"/>
        <v>-37.558923072548247</v>
      </c>
      <c r="G23" s="192">
        <f t="shared" si="3"/>
        <v>90.779341344564557</v>
      </c>
      <c r="H23" s="191">
        <f t="shared" si="4"/>
        <v>-41.82496140458889</v>
      </c>
      <c r="I23" s="193">
        <f t="shared" si="5"/>
        <v>-27.475972892117738</v>
      </c>
      <c r="J23" s="192"/>
      <c r="K23" s="209"/>
      <c r="L23" s="210"/>
      <c r="M23" s="188"/>
      <c r="N23" s="189">
        <v>500000</v>
      </c>
      <c r="O23" s="189">
        <f t="shared" si="13"/>
        <v>3141592.653589793</v>
      </c>
      <c r="P23" s="191">
        <f t="shared" si="6"/>
        <v>-29.01992229739492</v>
      </c>
      <c r="Q23" s="191">
        <f t="shared" si="7"/>
        <v>-29.931832403749109</v>
      </c>
      <c r="R23" s="191">
        <f t="shared" si="8"/>
        <v>-37.558923072548247</v>
      </c>
      <c r="S23" s="193">
        <f t="shared" si="9"/>
        <v>90.779341344564557</v>
      </c>
      <c r="T23" s="190">
        <f t="shared" si="10"/>
        <v>-66.578845369943167</v>
      </c>
      <c r="U23" s="193">
        <f t="shared" si="11"/>
        <v>60.847508940815445</v>
      </c>
      <c r="V23" s="188"/>
      <c r="W23" s="188"/>
      <c r="X23" s="195"/>
    </row>
    <row r="24" spans="2:24" x14ac:dyDescent="0.2">
      <c r="B24" s="189">
        <v>1000000</v>
      </c>
      <c r="C24" s="189">
        <f t="shared" si="12"/>
        <v>6283185.307179586</v>
      </c>
      <c r="D24" s="190">
        <f t="shared" si="0"/>
        <v>0.85189976775976717</v>
      </c>
      <c r="E24" s="191">
        <f t="shared" si="1"/>
        <v>-105.22611993350615</v>
      </c>
      <c r="F24" s="191">
        <f t="shared" si="2"/>
        <v>-43.578885349516419</v>
      </c>
      <c r="G24" s="192">
        <f t="shared" si="3"/>
        <v>90.389690312615443</v>
      </c>
      <c r="H24" s="191">
        <f t="shared" si="4"/>
        <v>-42.726985581756651</v>
      </c>
      <c r="I24" s="193">
        <f t="shared" si="5"/>
        <v>-14.836429620890712</v>
      </c>
      <c r="J24" s="192"/>
      <c r="K24" s="209"/>
      <c r="L24" s="212"/>
      <c r="M24" s="188"/>
      <c r="N24" s="189">
        <v>1000000</v>
      </c>
      <c r="O24" s="189">
        <f t="shared" si="13"/>
        <v>6283185.307179586</v>
      </c>
      <c r="P24" s="191">
        <f t="shared" si="6"/>
        <v>-29.919859854971023</v>
      </c>
      <c r="Q24" s="191">
        <f t="shared" si="7"/>
        <v>-16.064552455229055</v>
      </c>
      <c r="R24" s="191">
        <f t="shared" si="8"/>
        <v>-43.578885349516419</v>
      </c>
      <c r="S24" s="193">
        <f t="shared" si="9"/>
        <v>90.389690312615443</v>
      </c>
      <c r="T24" s="190">
        <f t="shared" si="10"/>
        <v>-73.498745204487449</v>
      </c>
      <c r="U24" s="193">
        <f t="shared" si="11"/>
        <v>74.32513785738638</v>
      </c>
      <c r="V24" s="188"/>
      <c r="W24" s="188"/>
      <c r="X24" s="195"/>
    </row>
    <row r="25" spans="2:24" x14ac:dyDescent="0.2">
      <c r="J25" s="132"/>
      <c r="K25" s="137"/>
      <c r="L25" s="136"/>
      <c r="X25" s="5"/>
    </row>
    <row r="26" spans="2:24" x14ac:dyDescent="0.2">
      <c r="J26" s="132"/>
      <c r="K26" s="137"/>
      <c r="L26" s="136"/>
      <c r="X26" s="5"/>
    </row>
    <row r="27" spans="2:24" x14ac:dyDescent="0.2">
      <c r="J27" s="143"/>
      <c r="K27" s="144"/>
      <c r="L27" s="145"/>
      <c r="X27" s="5"/>
    </row>
    <row r="28" spans="2:24" x14ac:dyDescent="0.2">
      <c r="K28" s="144"/>
      <c r="L28" s="136"/>
      <c r="X28" s="5"/>
    </row>
    <row r="29" spans="2:24" x14ac:dyDescent="0.2">
      <c r="J29" s="132"/>
      <c r="K29" s="144"/>
      <c r="L29" s="136"/>
      <c r="X29" s="5"/>
    </row>
    <row r="30" spans="2:24" x14ac:dyDescent="0.2">
      <c r="J30" s="132"/>
      <c r="K30" s="144"/>
      <c r="L30" s="136"/>
      <c r="X30" s="5"/>
    </row>
    <row r="31" spans="2:24" x14ac:dyDescent="0.2">
      <c r="J31" s="134"/>
      <c r="K31" s="137"/>
      <c r="L31" s="136"/>
    </row>
    <row r="32" spans="2:24" x14ac:dyDescent="0.2">
      <c r="J32" s="4"/>
      <c r="K32" s="137"/>
      <c r="L32" s="136"/>
    </row>
    <row r="33" spans="10:12" x14ac:dyDescent="0.2">
      <c r="J33" s="4"/>
      <c r="K33" s="133"/>
      <c r="L33" s="136"/>
    </row>
    <row r="34" spans="10:12" x14ac:dyDescent="0.2">
      <c r="J34" s="4"/>
      <c r="K34" s="133"/>
      <c r="L34" s="136"/>
    </row>
    <row r="35" spans="10:12" x14ac:dyDescent="0.2">
      <c r="K35" s="133"/>
      <c r="L35" s="136"/>
    </row>
    <row r="36" spans="10:12" x14ac:dyDescent="0.2">
      <c r="L36" s="136"/>
    </row>
    <row r="37" spans="10:12" x14ac:dyDescent="0.2">
      <c r="L37" s="136"/>
    </row>
    <row r="38" spans="10:12" x14ac:dyDescent="0.2">
      <c r="L38" s="136"/>
    </row>
  </sheetData>
  <sheetProtection password="E1A4" sheet="1"/>
  <customSheetViews>
    <customSheetView guid="{1DD99649-EE33-4BDE-A4D6-89083858C8DF}">
      <selection activeCell="A39" sqref="A39"/>
      <pageMargins left="0.75" right="0.75" top="1" bottom="1" header="0.5" footer="0.5"/>
      <headerFooter alignWithMargins="0"/>
    </customSheetView>
    <customSheetView guid="{7663E1A9-6243-4C84-AC6E-7B523F6FB71A}">
      <selection activeCell="I27" sqref="I27"/>
      <pageMargins left="0.75" right="0.75" top="1" bottom="1" header="0.5" footer="0.5"/>
      <headerFooter alignWithMargins="0"/>
    </customSheetView>
  </customSheetViews>
  <phoneticPr fontId="4" type="noConversion"/>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F89"/>
  <sheetViews>
    <sheetView workbookViewId="0">
      <selection activeCell="I62" sqref="I62"/>
    </sheetView>
  </sheetViews>
  <sheetFormatPr defaultRowHeight="12.75" x14ac:dyDescent="0.2"/>
  <cols>
    <col min="2" max="2" width="15.7109375" customWidth="1"/>
  </cols>
  <sheetData>
    <row r="2" spans="2:6" x14ac:dyDescent="0.2">
      <c r="E2" t="s">
        <v>55</v>
      </c>
      <c r="F2" t="s">
        <v>56</v>
      </c>
    </row>
    <row r="4" spans="2:6" x14ac:dyDescent="0.2">
      <c r="B4" t="e">
        <f>IF(Vout&gt;0.7*Vin_nominal,"Buck-Boost Mode","Buck Mode")</f>
        <v>#NAME?</v>
      </c>
      <c r="D4" t="s">
        <v>54</v>
      </c>
      <c r="E4" t="s">
        <v>18</v>
      </c>
    </row>
    <row r="5" spans="2:6" x14ac:dyDescent="0.2">
      <c r="E5">
        <v>12</v>
      </c>
    </row>
    <row r="6" spans="2:6" x14ac:dyDescent="0.2">
      <c r="D6">
        <v>20</v>
      </c>
      <c r="E6">
        <f>IF(E5&lt;0.7*D6,10,0)</f>
        <v>10</v>
      </c>
      <c r="F6">
        <f>IF(E5&gt;0.7*D6,10,0)</f>
        <v>0</v>
      </c>
    </row>
    <row r="7" spans="2:6" x14ac:dyDescent="0.2">
      <c r="D7">
        <v>19</v>
      </c>
      <c r="E7">
        <f>IF(E5&lt;0.7*D7,10,0)</f>
        <v>10</v>
      </c>
      <c r="F7">
        <f>IF(E5&gt;0.7*D7,10,0)</f>
        <v>0</v>
      </c>
    </row>
    <row r="8" spans="2:6" x14ac:dyDescent="0.2">
      <c r="D8">
        <v>18</v>
      </c>
      <c r="E8">
        <f>IF(E5&lt;0.7*D8,10,0)</f>
        <v>10</v>
      </c>
      <c r="F8">
        <f>IF(E5&gt;0.7*D8,10,0)</f>
        <v>0</v>
      </c>
    </row>
    <row r="9" spans="2:6" x14ac:dyDescent="0.2">
      <c r="D9">
        <v>17</v>
      </c>
      <c r="E9">
        <f>IF(E5&lt;0.7*D9,10,0)</f>
        <v>0</v>
      </c>
      <c r="F9">
        <f>IF(E5&gt;0.7*D9,10,0)</f>
        <v>10</v>
      </c>
    </row>
    <row r="10" spans="2:6" x14ac:dyDescent="0.2">
      <c r="D10">
        <v>16</v>
      </c>
      <c r="E10">
        <f>IF(E5&lt;0.7*D10,10,0)</f>
        <v>0</v>
      </c>
      <c r="F10">
        <f>IF(E5&gt;0.7*D10,10,0)</f>
        <v>10</v>
      </c>
    </row>
    <row r="11" spans="2:6" x14ac:dyDescent="0.2">
      <c r="D11">
        <v>14</v>
      </c>
      <c r="E11">
        <f>IF(E7&lt;0.7*D11,10,0)</f>
        <v>0</v>
      </c>
      <c r="F11">
        <f>IF(E5&gt;0.7*D11,10,0)</f>
        <v>10</v>
      </c>
    </row>
    <row r="12" spans="2:6" x14ac:dyDescent="0.2">
      <c r="D12">
        <v>13</v>
      </c>
      <c r="E12">
        <f>IF(E8&lt;0.7*D12,10,0)</f>
        <v>0</v>
      </c>
      <c r="F12">
        <f>IF(E5&gt;0.7*D12,10,0)</f>
        <v>10</v>
      </c>
    </row>
    <row r="13" spans="2:6" x14ac:dyDescent="0.2">
      <c r="D13">
        <v>12</v>
      </c>
      <c r="E13">
        <f>IF(E5&lt;0.7*D13,10,0)</f>
        <v>0</v>
      </c>
      <c r="F13">
        <f>IF(E5&gt;0.7*D13,10,0)</f>
        <v>10</v>
      </c>
    </row>
    <row r="14" spans="2:6" x14ac:dyDescent="0.2">
      <c r="D14">
        <v>11</v>
      </c>
      <c r="E14">
        <f>IF(E5&lt;0.7*D14,10,0)</f>
        <v>0</v>
      </c>
      <c r="F14">
        <f>IF(E5&gt;0.7*D14,10,0)</f>
        <v>10</v>
      </c>
    </row>
    <row r="15" spans="2:6" x14ac:dyDescent="0.2">
      <c r="D15">
        <v>10</v>
      </c>
      <c r="E15">
        <f>IF(E5&lt;0.7*D15,10,0)</f>
        <v>0</v>
      </c>
      <c r="F15">
        <f>IF(E5&gt;0.7*D15,10,0)</f>
        <v>10</v>
      </c>
    </row>
    <row r="17" spans="3:6" x14ac:dyDescent="0.2">
      <c r="E17">
        <v>12</v>
      </c>
    </row>
    <row r="18" spans="3:6" x14ac:dyDescent="0.2">
      <c r="C18">
        <v>13</v>
      </c>
      <c r="D18">
        <v>75</v>
      </c>
      <c r="E18" s="1">
        <f>E17/0.7</f>
        <v>17.142857142857142</v>
      </c>
      <c r="F18" s="1">
        <f>E18</f>
        <v>17.142857142857142</v>
      </c>
    </row>
    <row r="19" spans="3:6" x14ac:dyDescent="0.2">
      <c r="C19">
        <v>13</v>
      </c>
      <c r="D19">
        <v>74</v>
      </c>
      <c r="E19" s="1">
        <f>E17/0.7</f>
        <v>17.142857142857142</v>
      </c>
    </row>
    <row r="20" spans="3:6" x14ac:dyDescent="0.2">
      <c r="C20">
        <v>13</v>
      </c>
      <c r="D20">
        <v>73</v>
      </c>
      <c r="E20" s="1">
        <f>E17/0.7</f>
        <v>17.142857142857142</v>
      </c>
    </row>
    <row r="21" spans="3:6" x14ac:dyDescent="0.2">
      <c r="C21">
        <v>13</v>
      </c>
      <c r="D21">
        <v>72</v>
      </c>
      <c r="E21" s="1">
        <f>E17/0.7</f>
        <v>17.142857142857142</v>
      </c>
    </row>
    <row r="22" spans="3:6" x14ac:dyDescent="0.2">
      <c r="C22">
        <v>13</v>
      </c>
      <c r="D22">
        <v>71</v>
      </c>
      <c r="E22" s="1">
        <f>E17/0.7</f>
        <v>17.142857142857142</v>
      </c>
    </row>
    <row r="23" spans="3:6" x14ac:dyDescent="0.2">
      <c r="C23">
        <v>13</v>
      </c>
      <c r="D23">
        <v>70</v>
      </c>
      <c r="E23" s="1">
        <f>E17/0.7</f>
        <v>17.142857142857142</v>
      </c>
    </row>
    <row r="24" spans="3:6" x14ac:dyDescent="0.2">
      <c r="C24">
        <v>13</v>
      </c>
      <c r="D24">
        <f t="shared" ref="D24:D33" si="0">D23-1</f>
        <v>69</v>
      </c>
      <c r="E24" s="1">
        <f>E17/0.7</f>
        <v>17.142857142857142</v>
      </c>
    </row>
    <row r="25" spans="3:6" x14ac:dyDescent="0.2">
      <c r="C25">
        <v>13</v>
      </c>
      <c r="D25">
        <f t="shared" si="0"/>
        <v>68</v>
      </c>
      <c r="E25" s="1">
        <f>E17/0.7</f>
        <v>17.142857142857142</v>
      </c>
    </row>
    <row r="26" spans="3:6" x14ac:dyDescent="0.2">
      <c r="C26">
        <v>13</v>
      </c>
      <c r="D26">
        <f t="shared" si="0"/>
        <v>67</v>
      </c>
      <c r="E26" s="1">
        <f>E17/0.7</f>
        <v>17.142857142857142</v>
      </c>
    </row>
    <row r="27" spans="3:6" x14ac:dyDescent="0.2">
      <c r="C27">
        <v>13</v>
      </c>
      <c r="D27">
        <f t="shared" si="0"/>
        <v>66</v>
      </c>
      <c r="E27" s="1">
        <f>E17/0.7</f>
        <v>17.142857142857142</v>
      </c>
    </row>
    <row r="28" spans="3:6" x14ac:dyDescent="0.2">
      <c r="C28">
        <v>13</v>
      </c>
      <c r="D28">
        <f t="shared" si="0"/>
        <v>65</v>
      </c>
      <c r="E28" s="1">
        <f>E17/0.7</f>
        <v>17.142857142857142</v>
      </c>
    </row>
    <row r="29" spans="3:6" x14ac:dyDescent="0.2">
      <c r="C29">
        <v>13</v>
      </c>
      <c r="D29">
        <f t="shared" si="0"/>
        <v>64</v>
      </c>
      <c r="E29" s="1">
        <v>17.142857142857142</v>
      </c>
    </row>
    <row r="30" spans="3:6" x14ac:dyDescent="0.2">
      <c r="C30">
        <v>13</v>
      </c>
      <c r="D30">
        <f t="shared" si="0"/>
        <v>63</v>
      </c>
      <c r="E30" s="1">
        <v>17.142857142857142</v>
      </c>
    </row>
    <row r="31" spans="3:6" x14ac:dyDescent="0.2">
      <c r="C31">
        <v>13</v>
      </c>
      <c r="D31">
        <f t="shared" si="0"/>
        <v>62</v>
      </c>
      <c r="E31" s="1">
        <v>17.142857142857142</v>
      </c>
    </row>
    <row r="32" spans="3:6" x14ac:dyDescent="0.2">
      <c r="C32">
        <v>13</v>
      </c>
      <c r="D32">
        <f t="shared" si="0"/>
        <v>61</v>
      </c>
      <c r="E32" s="1">
        <v>17.142857142857142</v>
      </c>
    </row>
    <row r="33" spans="3:5" x14ac:dyDescent="0.2">
      <c r="C33">
        <v>13</v>
      </c>
      <c r="D33">
        <f t="shared" si="0"/>
        <v>60</v>
      </c>
      <c r="E33" s="1">
        <v>17.142857142857142</v>
      </c>
    </row>
    <row r="34" spans="3:5" x14ac:dyDescent="0.2">
      <c r="C34">
        <v>13</v>
      </c>
      <c r="D34">
        <f t="shared" ref="D34:D89" si="1">D33-1</f>
        <v>59</v>
      </c>
      <c r="E34" s="1">
        <v>17.142857142857142</v>
      </c>
    </row>
    <row r="35" spans="3:5" x14ac:dyDescent="0.2">
      <c r="C35">
        <v>13</v>
      </c>
      <c r="D35">
        <f t="shared" si="1"/>
        <v>58</v>
      </c>
      <c r="E35" s="1">
        <v>17.142857142857142</v>
      </c>
    </row>
    <row r="36" spans="3:5" x14ac:dyDescent="0.2">
      <c r="C36">
        <v>13</v>
      </c>
      <c r="D36">
        <f t="shared" si="1"/>
        <v>57</v>
      </c>
      <c r="E36" s="1">
        <v>17.142857142857142</v>
      </c>
    </row>
    <row r="37" spans="3:5" x14ac:dyDescent="0.2">
      <c r="C37">
        <v>13</v>
      </c>
      <c r="D37">
        <f t="shared" si="1"/>
        <v>56</v>
      </c>
      <c r="E37" s="1">
        <v>17.142857142857142</v>
      </c>
    </row>
    <row r="38" spans="3:5" x14ac:dyDescent="0.2">
      <c r="C38">
        <v>13</v>
      </c>
      <c r="D38">
        <f t="shared" si="1"/>
        <v>55</v>
      </c>
      <c r="E38" s="1">
        <v>17.142857142857142</v>
      </c>
    </row>
    <row r="39" spans="3:5" x14ac:dyDescent="0.2">
      <c r="C39">
        <v>13</v>
      </c>
      <c r="D39">
        <f t="shared" si="1"/>
        <v>54</v>
      </c>
      <c r="E39" s="1">
        <v>17.142857142857142</v>
      </c>
    </row>
    <row r="40" spans="3:5" x14ac:dyDescent="0.2">
      <c r="C40">
        <v>13</v>
      </c>
      <c r="D40">
        <f t="shared" si="1"/>
        <v>53</v>
      </c>
      <c r="E40" s="1">
        <v>17.142857142857142</v>
      </c>
    </row>
    <row r="41" spans="3:5" x14ac:dyDescent="0.2">
      <c r="C41">
        <v>13</v>
      </c>
      <c r="D41">
        <f t="shared" si="1"/>
        <v>52</v>
      </c>
      <c r="E41" s="1">
        <v>17.142857142857142</v>
      </c>
    </row>
    <row r="42" spans="3:5" x14ac:dyDescent="0.2">
      <c r="C42">
        <v>13</v>
      </c>
      <c r="D42">
        <f t="shared" si="1"/>
        <v>51</v>
      </c>
      <c r="E42" s="1">
        <v>17.142857142857142</v>
      </c>
    </row>
    <row r="43" spans="3:5" x14ac:dyDescent="0.2">
      <c r="C43">
        <v>13</v>
      </c>
      <c r="D43">
        <f t="shared" si="1"/>
        <v>50</v>
      </c>
      <c r="E43" s="1">
        <v>17.142857142857142</v>
      </c>
    </row>
    <row r="44" spans="3:5" x14ac:dyDescent="0.2">
      <c r="C44">
        <v>13</v>
      </c>
      <c r="D44">
        <f t="shared" si="1"/>
        <v>49</v>
      </c>
      <c r="E44" s="1">
        <v>17.142857142857142</v>
      </c>
    </row>
    <row r="45" spans="3:5" x14ac:dyDescent="0.2">
      <c r="C45">
        <v>13</v>
      </c>
      <c r="D45">
        <f t="shared" si="1"/>
        <v>48</v>
      </c>
      <c r="E45" s="1">
        <v>17.142857142857142</v>
      </c>
    </row>
    <row r="46" spans="3:5" x14ac:dyDescent="0.2">
      <c r="C46">
        <v>13</v>
      </c>
      <c r="D46">
        <f t="shared" si="1"/>
        <v>47</v>
      </c>
      <c r="E46" s="1">
        <v>17.142857142857142</v>
      </c>
    </row>
    <row r="47" spans="3:5" x14ac:dyDescent="0.2">
      <c r="C47">
        <v>13</v>
      </c>
      <c r="D47">
        <f t="shared" si="1"/>
        <v>46</v>
      </c>
      <c r="E47" s="1">
        <v>17.142857142857142</v>
      </c>
    </row>
    <row r="48" spans="3:5" x14ac:dyDescent="0.2">
      <c r="C48">
        <v>13</v>
      </c>
      <c r="D48">
        <f t="shared" si="1"/>
        <v>45</v>
      </c>
      <c r="E48" s="1">
        <v>17.142857142857142</v>
      </c>
    </row>
    <row r="49" spans="3:5" x14ac:dyDescent="0.2">
      <c r="C49">
        <v>13</v>
      </c>
      <c r="D49">
        <f t="shared" si="1"/>
        <v>44</v>
      </c>
      <c r="E49" s="1">
        <v>17.142857142857142</v>
      </c>
    </row>
    <row r="50" spans="3:5" x14ac:dyDescent="0.2">
      <c r="C50">
        <v>13</v>
      </c>
      <c r="D50">
        <f t="shared" si="1"/>
        <v>43</v>
      </c>
      <c r="E50" s="1">
        <v>17.142857142857142</v>
      </c>
    </row>
    <row r="51" spans="3:5" x14ac:dyDescent="0.2">
      <c r="C51">
        <v>13</v>
      </c>
      <c r="D51">
        <f t="shared" si="1"/>
        <v>42</v>
      </c>
      <c r="E51" s="1">
        <v>17.142857142857142</v>
      </c>
    </row>
    <row r="52" spans="3:5" x14ac:dyDescent="0.2">
      <c r="C52">
        <v>13</v>
      </c>
      <c r="D52">
        <f t="shared" si="1"/>
        <v>41</v>
      </c>
      <c r="E52" s="1">
        <v>17.142857142857142</v>
      </c>
    </row>
    <row r="53" spans="3:5" x14ac:dyDescent="0.2">
      <c r="C53">
        <v>13</v>
      </c>
      <c r="D53">
        <f t="shared" si="1"/>
        <v>40</v>
      </c>
      <c r="E53" s="1">
        <v>17.142857142857142</v>
      </c>
    </row>
    <row r="54" spans="3:5" x14ac:dyDescent="0.2">
      <c r="C54">
        <v>13</v>
      </c>
      <c r="D54">
        <f t="shared" si="1"/>
        <v>39</v>
      </c>
      <c r="E54" s="1">
        <v>17.142857142857142</v>
      </c>
    </row>
    <row r="55" spans="3:5" x14ac:dyDescent="0.2">
      <c r="C55">
        <v>13</v>
      </c>
      <c r="D55">
        <f t="shared" si="1"/>
        <v>38</v>
      </c>
      <c r="E55" s="1">
        <v>17.142857142857142</v>
      </c>
    </row>
    <row r="56" spans="3:5" x14ac:dyDescent="0.2">
      <c r="C56">
        <v>13</v>
      </c>
      <c r="D56">
        <f t="shared" si="1"/>
        <v>37</v>
      </c>
      <c r="E56" s="1">
        <v>17.142857142857142</v>
      </c>
    </row>
    <row r="57" spans="3:5" x14ac:dyDescent="0.2">
      <c r="C57">
        <v>13</v>
      </c>
      <c r="D57">
        <f t="shared" si="1"/>
        <v>36</v>
      </c>
      <c r="E57" s="1">
        <v>17.142857142857142</v>
      </c>
    </row>
    <row r="58" spans="3:5" x14ac:dyDescent="0.2">
      <c r="C58">
        <v>13</v>
      </c>
      <c r="D58">
        <f t="shared" si="1"/>
        <v>35</v>
      </c>
      <c r="E58" s="1">
        <v>17.142857142857142</v>
      </c>
    </row>
    <row r="59" spans="3:5" x14ac:dyDescent="0.2">
      <c r="C59">
        <v>13</v>
      </c>
      <c r="D59">
        <f t="shared" si="1"/>
        <v>34</v>
      </c>
      <c r="E59" s="1">
        <v>17.142857142857142</v>
      </c>
    </row>
    <row r="60" spans="3:5" x14ac:dyDescent="0.2">
      <c r="C60">
        <v>13</v>
      </c>
      <c r="D60">
        <f t="shared" si="1"/>
        <v>33</v>
      </c>
      <c r="E60" s="1">
        <v>17.142857142857142</v>
      </c>
    </row>
    <row r="61" spans="3:5" x14ac:dyDescent="0.2">
      <c r="C61">
        <v>13</v>
      </c>
      <c r="D61">
        <f t="shared" si="1"/>
        <v>32</v>
      </c>
      <c r="E61" s="1">
        <v>17.142857142857142</v>
      </c>
    </row>
    <row r="62" spans="3:5" x14ac:dyDescent="0.2">
      <c r="C62">
        <v>13</v>
      </c>
      <c r="D62">
        <f t="shared" si="1"/>
        <v>31</v>
      </c>
      <c r="E62" s="1">
        <v>17.142857142857142</v>
      </c>
    </row>
    <row r="63" spans="3:5" x14ac:dyDescent="0.2">
      <c r="C63">
        <v>13</v>
      </c>
      <c r="D63">
        <f t="shared" si="1"/>
        <v>30</v>
      </c>
      <c r="E63" s="1">
        <v>17.142857142857142</v>
      </c>
    </row>
    <row r="64" spans="3:5" x14ac:dyDescent="0.2">
      <c r="C64">
        <v>13</v>
      </c>
      <c r="D64">
        <f t="shared" si="1"/>
        <v>29</v>
      </c>
      <c r="E64" s="1">
        <v>17.142857142857142</v>
      </c>
    </row>
    <row r="65" spans="3:5" x14ac:dyDescent="0.2">
      <c r="C65">
        <v>13</v>
      </c>
      <c r="D65">
        <f t="shared" si="1"/>
        <v>28</v>
      </c>
      <c r="E65" s="1">
        <v>17.142857142857142</v>
      </c>
    </row>
    <row r="66" spans="3:5" x14ac:dyDescent="0.2">
      <c r="C66">
        <v>13</v>
      </c>
      <c r="D66">
        <f t="shared" si="1"/>
        <v>27</v>
      </c>
      <c r="E66" s="1">
        <v>17.142857142857142</v>
      </c>
    </row>
    <row r="67" spans="3:5" x14ac:dyDescent="0.2">
      <c r="C67">
        <v>13</v>
      </c>
      <c r="D67">
        <f t="shared" si="1"/>
        <v>26</v>
      </c>
      <c r="E67" s="1">
        <v>17.142857142857142</v>
      </c>
    </row>
    <row r="68" spans="3:5" x14ac:dyDescent="0.2">
      <c r="C68">
        <v>13</v>
      </c>
      <c r="D68">
        <f t="shared" si="1"/>
        <v>25</v>
      </c>
      <c r="E68" s="1">
        <v>17.142857142857142</v>
      </c>
    </row>
    <row r="69" spans="3:5" x14ac:dyDescent="0.2">
      <c r="C69">
        <v>13</v>
      </c>
      <c r="D69">
        <f t="shared" si="1"/>
        <v>24</v>
      </c>
      <c r="E69" s="1">
        <v>17.142857142857142</v>
      </c>
    </row>
    <row r="70" spans="3:5" x14ac:dyDescent="0.2">
      <c r="C70">
        <v>13</v>
      </c>
      <c r="D70">
        <f t="shared" si="1"/>
        <v>23</v>
      </c>
      <c r="E70" s="1">
        <v>17.142857142857142</v>
      </c>
    </row>
    <row r="71" spans="3:5" x14ac:dyDescent="0.2">
      <c r="C71">
        <v>13</v>
      </c>
      <c r="D71">
        <f t="shared" si="1"/>
        <v>22</v>
      </c>
      <c r="E71" s="1">
        <v>17.142857142857142</v>
      </c>
    </row>
    <row r="72" spans="3:5" x14ac:dyDescent="0.2">
      <c r="C72">
        <v>13</v>
      </c>
      <c r="D72">
        <f t="shared" si="1"/>
        <v>21</v>
      </c>
      <c r="E72" s="1">
        <v>17.142857142857142</v>
      </c>
    </row>
    <row r="73" spans="3:5" x14ac:dyDescent="0.2">
      <c r="C73">
        <v>13</v>
      </c>
      <c r="D73">
        <f t="shared" si="1"/>
        <v>20</v>
      </c>
      <c r="E73" s="1">
        <v>17.142857142857142</v>
      </c>
    </row>
    <row r="74" spans="3:5" x14ac:dyDescent="0.2">
      <c r="C74">
        <v>13</v>
      </c>
      <c r="D74">
        <f t="shared" si="1"/>
        <v>19</v>
      </c>
      <c r="E74" s="1">
        <v>17.142857142857142</v>
      </c>
    </row>
    <row r="75" spans="3:5" x14ac:dyDescent="0.2">
      <c r="C75">
        <v>13</v>
      </c>
      <c r="D75">
        <f t="shared" si="1"/>
        <v>18</v>
      </c>
      <c r="E75" s="1">
        <v>17.142857142857142</v>
      </c>
    </row>
    <row r="76" spans="3:5" x14ac:dyDescent="0.2">
      <c r="C76">
        <v>13</v>
      </c>
      <c r="D76">
        <f t="shared" si="1"/>
        <v>17</v>
      </c>
      <c r="E76" s="1">
        <v>17.142857142857142</v>
      </c>
    </row>
    <row r="77" spans="3:5" x14ac:dyDescent="0.2">
      <c r="C77">
        <v>13</v>
      </c>
      <c r="D77">
        <f t="shared" si="1"/>
        <v>16</v>
      </c>
      <c r="E77" s="1">
        <v>17.142857142857142</v>
      </c>
    </row>
    <row r="78" spans="3:5" x14ac:dyDescent="0.2">
      <c r="C78">
        <v>13</v>
      </c>
      <c r="D78">
        <f t="shared" si="1"/>
        <v>15</v>
      </c>
      <c r="E78" s="1">
        <v>17.142857142857142</v>
      </c>
    </row>
    <row r="79" spans="3:5" x14ac:dyDescent="0.2">
      <c r="C79">
        <v>13</v>
      </c>
      <c r="D79">
        <f t="shared" si="1"/>
        <v>14</v>
      </c>
      <c r="E79" s="1">
        <v>17.142857142857142</v>
      </c>
    </row>
    <row r="80" spans="3:5" x14ac:dyDescent="0.2">
      <c r="C80">
        <v>13</v>
      </c>
      <c r="D80">
        <f t="shared" si="1"/>
        <v>13</v>
      </c>
      <c r="E80" s="1">
        <v>17.142857142857142</v>
      </c>
    </row>
    <row r="81" spans="3:5" x14ac:dyDescent="0.2">
      <c r="C81">
        <v>13</v>
      </c>
      <c r="D81">
        <f t="shared" si="1"/>
        <v>12</v>
      </c>
      <c r="E81" s="1">
        <v>17.142857142857142</v>
      </c>
    </row>
    <row r="82" spans="3:5" x14ac:dyDescent="0.2">
      <c r="C82">
        <v>13</v>
      </c>
      <c r="D82">
        <f t="shared" si="1"/>
        <v>11</v>
      </c>
      <c r="E82" s="1">
        <v>17.142857142857142</v>
      </c>
    </row>
    <row r="83" spans="3:5" x14ac:dyDescent="0.2">
      <c r="C83">
        <v>13</v>
      </c>
      <c r="D83">
        <f t="shared" si="1"/>
        <v>10</v>
      </c>
      <c r="E83" s="1">
        <v>17.142857142857142</v>
      </c>
    </row>
    <row r="84" spans="3:5" x14ac:dyDescent="0.2">
      <c r="C84">
        <v>13</v>
      </c>
      <c r="D84">
        <f t="shared" si="1"/>
        <v>9</v>
      </c>
      <c r="E84" s="1">
        <v>17.142857142857142</v>
      </c>
    </row>
    <row r="85" spans="3:5" x14ac:dyDescent="0.2">
      <c r="C85">
        <v>13</v>
      </c>
      <c r="D85">
        <f t="shared" si="1"/>
        <v>8</v>
      </c>
      <c r="E85" s="1">
        <v>17.142857142857142</v>
      </c>
    </row>
    <row r="86" spans="3:5" x14ac:dyDescent="0.2">
      <c r="C86">
        <v>13</v>
      </c>
      <c r="D86">
        <f t="shared" si="1"/>
        <v>7</v>
      </c>
      <c r="E86" s="1">
        <v>17.142857142857142</v>
      </c>
    </row>
    <row r="87" spans="3:5" x14ac:dyDescent="0.2">
      <c r="C87">
        <v>13</v>
      </c>
      <c r="D87">
        <f t="shared" si="1"/>
        <v>6</v>
      </c>
      <c r="E87" s="1">
        <v>17.142857142857142</v>
      </c>
    </row>
    <row r="88" spans="3:5" x14ac:dyDescent="0.2">
      <c r="C88">
        <v>13</v>
      </c>
      <c r="D88">
        <f t="shared" si="1"/>
        <v>5</v>
      </c>
      <c r="E88" s="1">
        <v>17.142857142857142</v>
      </c>
    </row>
    <row r="89" spans="3:5" x14ac:dyDescent="0.2">
      <c r="C89">
        <v>13</v>
      </c>
      <c r="D89">
        <f t="shared" si="1"/>
        <v>4</v>
      </c>
      <c r="E89" s="1">
        <v>17.142857142857142</v>
      </c>
    </row>
  </sheetData>
  <customSheetViews>
    <customSheetView guid="{1DD99649-EE33-4BDE-A4D6-89083858C8DF}" showPageBreaks="1" printArea="1">
      <selection activeCell="B10" sqref="B10"/>
      <pageMargins left="0.75" right="0.75" top="1" bottom="1" header="0.5" footer="0.5"/>
      <pageSetup orientation="landscape" r:id="rId1"/>
      <headerFooter alignWithMargins="0"/>
    </customSheetView>
    <customSheetView guid="{7663E1A9-6243-4C84-AC6E-7B523F6FB71A}" state="hidden">
      <selection activeCell="B10" sqref="B10"/>
      <pageMargins left="0.75" right="0.75" top="1" bottom="1" header="0.5" footer="0.5"/>
      <pageSetup orientation="landscape" r:id="rId2"/>
      <headerFooter alignWithMargins="0"/>
    </customSheetView>
  </customSheetViews>
  <phoneticPr fontId="4" type="noConversion"/>
  <pageMargins left="0.75" right="0.75" top="1" bottom="1" header="0.5" footer="0.5"/>
  <pageSetup orientation="landscape" r:id="rId3"/>
  <headerFooter alignWithMargins="0"/>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4:M13"/>
  <sheetViews>
    <sheetView workbookViewId="0">
      <selection activeCell="K36" sqref="K35:K36"/>
    </sheetView>
  </sheetViews>
  <sheetFormatPr defaultRowHeight="12.75" x14ac:dyDescent="0.2"/>
  <cols>
    <col min="5" max="6" width="12" bestFit="1" customWidth="1"/>
    <col min="7" max="7" width="13.7109375" bestFit="1" customWidth="1"/>
    <col min="8" max="8" width="12.7109375" bestFit="1" customWidth="1"/>
    <col min="9" max="10" width="10.7109375" bestFit="1" customWidth="1"/>
  </cols>
  <sheetData>
    <row r="4" spans="2:13" x14ac:dyDescent="0.2">
      <c r="C4" t="s">
        <v>17</v>
      </c>
      <c r="D4" t="s">
        <v>16</v>
      </c>
      <c r="E4" t="s">
        <v>63</v>
      </c>
      <c r="F4" t="s">
        <v>64</v>
      </c>
      <c r="G4" t="s">
        <v>65</v>
      </c>
      <c r="H4" t="s">
        <v>66</v>
      </c>
      <c r="I4" t="s">
        <v>67</v>
      </c>
      <c r="J4" t="s">
        <v>68</v>
      </c>
    </row>
    <row r="7" spans="2:13" x14ac:dyDescent="0.2">
      <c r="C7">
        <f>Vinmin</f>
        <v>12</v>
      </c>
      <c r="D7">
        <f>Vinmax</f>
        <v>45</v>
      </c>
      <c r="E7">
        <f>1.15*Vout</f>
        <v>13.799999999999999</v>
      </c>
      <c r="F7">
        <f>Vout/0.75</f>
        <v>16</v>
      </c>
      <c r="G7">
        <f>Vinmin</f>
        <v>12</v>
      </c>
      <c r="H7">
        <f>E7</f>
        <v>13.799999999999999</v>
      </c>
      <c r="I7">
        <f>Vout/0.75</f>
        <v>16</v>
      </c>
      <c r="J7">
        <f>Vinmax</f>
        <v>45</v>
      </c>
      <c r="L7">
        <f>Vout</f>
        <v>12</v>
      </c>
      <c r="M7" t="e">
        <f>Vin_nominal</f>
        <v>#NAME?</v>
      </c>
    </row>
    <row r="8" spans="2:13" x14ac:dyDescent="0.2">
      <c r="C8" t="s">
        <v>73</v>
      </c>
      <c r="G8">
        <v>5</v>
      </c>
      <c r="H8">
        <f>IF(Vinmax&lt;H7,Vinmax,H7)</f>
        <v>13.799999999999999</v>
      </c>
    </row>
    <row r="9" spans="2:13" x14ac:dyDescent="0.2">
      <c r="C9" t="s">
        <v>74</v>
      </c>
      <c r="F9">
        <f>IF(Vinmax&gt;F7,F7,IF(Vinmax&gt;E7,Vinmax,0))</f>
        <v>16</v>
      </c>
    </row>
    <row r="10" spans="2:13" x14ac:dyDescent="0.2">
      <c r="C10" t="s">
        <v>75</v>
      </c>
      <c r="F10">
        <f>F9-H8</f>
        <v>2.2000000000000011</v>
      </c>
    </row>
    <row r="12" spans="2:13" x14ac:dyDescent="0.2">
      <c r="B12" t="s">
        <v>69</v>
      </c>
      <c r="C12" t="s">
        <v>71</v>
      </c>
      <c r="H12">
        <f>IF(Vinmax&gt;F7,Vinmax,0)</f>
        <v>45</v>
      </c>
    </row>
    <row r="13" spans="2:13" x14ac:dyDescent="0.2">
      <c r="B13" t="s">
        <v>70</v>
      </c>
      <c r="C13" t="s">
        <v>72</v>
      </c>
      <c r="H13">
        <f>H12-F7</f>
        <v>29</v>
      </c>
    </row>
  </sheetData>
  <customSheetViews>
    <customSheetView guid="{1DD99649-EE33-4BDE-A4D6-89083858C8DF}">
      <selection activeCell="K36" sqref="K35:K36"/>
      <pageMargins left="0.75" right="0.75" top="1" bottom="1" header="0.5" footer="0.5"/>
      <headerFooter alignWithMargins="0"/>
    </customSheetView>
    <customSheetView guid="{7663E1A9-6243-4C84-AC6E-7B523F6FB71A}" state="hidden">
      <selection activeCell="K36" sqref="K35:K36"/>
      <pageMargins left="0.75" right="0.75" top="1" bottom="1" header="0.5" footer="0.5"/>
      <headerFooter alignWithMargins="0"/>
    </customSheetView>
  </customSheetViews>
  <phoneticPr fontId="4"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62</vt:i4>
      </vt:variant>
    </vt:vector>
  </HeadingPairs>
  <TitlesOfParts>
    <vt:vector size="67" baseType="lpstr">
      <vt:lpstr>LM(2)5118 Calculator</vt:lpstr>
      <vt:lpstr>Bill of Materials</vt:lpstr>
      <vt:lpstr>Bode Plots</vt:lpstr>
      <vt:lpstr>Worksheet</vt:lpstr>
      <vt:lpstr>Graph</vt:lpstr>
      <vt:lpstr>_Rfb1</vt:lpstr>
      <vt:lpstr>_Rfb2</vt:lpstr>
      <vt:lpstr>_Ruv1</vt:lpstr>
      <vt:lpstr>_Ruv2</vt:lpstr>
      <vt:lpstr>Afb</vt:lpstr>
      <vt:lpstr>Amb</vt:lpstr>
      <vt:lpstr>AmBB</vt:lpstr>
      <vt:lpstr>BuckBoostMode</vt:lpstr>
      <vt:lpstr>BuckMode</vt:lpstr>
      <vt:lpstr>Chb</vt:lpstr>
      <vt:lpstr>Cin</vt:lpstr>
      <vt:lpstr>CinESR</vt:lpstr>
      <vt:lpstr>Cout</vt:lpstr>
      <vt:lpstr>Coutesr</vt:lpstr>
      <vt:lpstr>Cpole</vt:lpstr>
      <vt:lpstr>Cr</vt:lpstr>
      <vt:lpstr>Cramp</vt:lpstr>
      <vt:lpstr>Css</vt:lpstr>
      <vt:lpstr>Cvcc</vt:lpstr>
      <vt:lpstr>Czero</vt:lpstr>
      <vt:lpstr>DeltaVout</vt:lpstr>
      <vt:lpstr>Eff</vt:lpstr>
      <vt:lpstr>fcutoff</vt:lpstr>
      <vt:lpstr>fmodESRzero</vt:lpstr>
      <vt:lpstr>fmodpole</vt:lpstr>
      <vt:lpstr>fmodRzero</vt:lpstr>
      <vt:lpstr>Fsw</vt:lpstr>
      <vt:lpstr>ILavgBB</vt:lpstr>
      <vt:lpstr>ILavgBuck</vt:lpstr>
      <vt:lpstr>Iout</vt:lpstr>
      <vt:lpstr>IpeakBB</vt:lpstr>
      <vt:lpstr>IpeakBuck</vt:lpstr>
      <vt:lpstr>IrippleBB</vt:lpstr>
      <vt:lpstr>IrippleBB_Vout</vt:lpstr>
      <vt:lpstr>IrippleBuck</vt:lpstr>
      <vt:lpstr>KBB</vt:lpstr>
      <vt:lpstr>KBuck</vt:lpstr>
      <vt:lpstr>L</vt:lpstr>
      <vt:lpstr>L_tol</vt:lpstr>
      <vt:lpstr>Lboost</vt:lpstr>
      <vt:lpstr>Lbuck</vt:lpstr>
      <vt:lpstr>'Bill of Materials'!LM5118_EVAL_A9_BOM</vt:lpstr>
      <vt:lpstr>'LM(2)5118 Calculator'!Print_Area</vt:lpstr>
      <vt:lpstr>Worksheet!Print_Area</vt:lpstr>
      <vt:lpstr>Rcomp</vt:lpstr>
      <vt:lpstr>Ripple</vt:lpstr>
      <vt:lpstr>Rramp</vt:lpstr>
      <vt:lpstr>Rs</vt:lpstr>
      <vt:lpstr>Rt</vt:lpstr>
      <vt:lpstr>Vccx</vt:lpstr>
      <vt:lpstr>Vinmax</vt:lpstr>
      <vt:lpstr>Vinmin</vt:lpstr>
      <vt:lpstr>Vout</vt:lpstr>
      <vt:lpstr>wd</vt:lpstr>
      <vt:lpstr>whf</vt:lpstr>
      <vt:lpstr>wpb</vt:lpstr>
      <vt:lpstr>wpBB</vt:lpstr>
      <vt:lpstr>wpea</vt:lpstr>
      <vt:lpstr>wrBB</vt:lpstr>
      <vt:lpstr>wzb</vt:lpstr>
      <vt:lpstr>wzBB</vt:lpstr>
      <vt:lpstr>wzea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crmcsc</dc:creator>
  <cp:lastModifiedBy>Kun Lyric</cp:lastModifiedBy>
  <cp:lastPrinted>2008-06-11T20:17:48Z</cp:lastPrinted>
  <dcterms:created xsi:type="dcterms:W3CDTF">2007-04-04T22:20:21Z</dcterms:created>
  <dcterms:modified xsi:type="dcterms:W3CDTF">2025-12-15T02:04:27Z</dcterms:modified>
</cp:coreProperties>
</file>